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>
    <definedName localSheetId="0" name="Nicolas_Cage_filmography">Tabelle1!$A$5:$B$108</definedName>
  </definedNames>
  <calcPr/>
  <extLst>
    <ext uri="GoogleSheetsCustomDataVersion2">
      <go:sheetsCustomData xmlns:go="http://customooxmlschemas.google.com/" r:id="rId5" roundtripDataChecksum="V4Ekqe07dEyBoZiBCUMleokxRcI7/0Wkr3TSkn/MI8I="/>
    </ext>
  </extLst>
</workbook>
</file>

<file path=xl/sharedStrings.xml><?xml version="1.0" encoding="utf-8"?>
<sst xmlns="http://schemas.openxmlformats.org/spreadsheetml/2006/main" count="179" uniqueCount="179">
  <si>
    <t>Cage-Code: Nic-Cage-Film-Mission</t>
  </si>
  <si>
    <t>Tristans Favorit:</t>
  </si>
  <si>
    <t>Vincents Favorit:</t>
  </si>
  <si>
    <t>Fortschritt:</t>
  </si>
  <si>
    <t>Daten aus:</t>
  </si>
  <si>
    <t>Ende 2024</t>
  </si>
  <si>
    <t>Jahr</t>
  </si>
  <si>
    <t>Originaltitel</t>
  </si>
  <si>
    <t>Deutscher Titel</t>
  </si>
  <si>
    <t>Tristan</t>
  </si>
  <si>
    <t>Vincent</t>
  </si>
  <si>
    <t>Ø</t>
  </si>
  <si>
    <t>IMDb</t>
  </si>
  <si>
    <t>Fast Times at Ridgemont High</t>
  </si>
  <si>
    <t>Ich glaub’, ich steh’ im Wald</t>
  </si>
  <si>
    <t>Rumble Fish</t>
  </si>
  <si>
    <t>Valley Girl</t>
  </si>
  <si>
    <t>– Das Mädchen aus dem Tal</t>
  </si>
  <si>
    <t>Birdy</t>
  </si>
  <si>
    <t>Racing with the Moon</t>
  </si>
  <si>
    <t>Die Zeit verrinnt, die Navy ruft</t>
  </si>
  <si>
    <t>Cotton Club</t>
  </si>
  <si>
    <t>Peggy Sue Got Married</t>
  </si>
  <si>
    <t>Peggy Sue hat geheiratet</t>
  </si>
  <si>
    <t>The Boy in Blue</t>
  </si>
  <si>
    <t>Finish – Endspurt bis zum Sieg</t>
  </si>
  <si>
    <t>Moonstruck</t>
  </si>
  <si>
    <t>Mondsüchtig</t>
  </si>
  <si>
    <t>Raising Arizona</t>
  </si>
  <si>
    <t>Arizona Junior</t>
  </si>
  <si>
    <t>Vampire's Kiss</t>
  </si>
  <si>
    <t>Fire Birds</t>
  </si>
  <si>
    <t>– Wings of the Apache</t>
  </si>
  <si>
    <t>Time to Kill</t>
  </si>
  <si>
    <t>Zeit zu leben, Zeit zu sterben</t>
  </si>
  <si>
    <t>Wild at Heart</t>
  </si>
  <si>
    <t>– Die Geschichte von Sailor und Lula</t>
  </si>
  <si>
    <t>Zandalee</t>
  </si>
  <si>
    <t>– Das sechste Gebot</t>
  </si>
  <si>
    <t>Honeymoon in Vegas</t>
  </si>
  <si>
    <t>- aber nicht mit meiner Braut</t>
  </si>
  <si>
    <t>Amos &amp; Andrew</t>
  </si>
  <si>
    <t>– Zwei fast perfekte Chaoten</t>
  </si>
  <si>
    <t>Deadfall</t>
  </si>
  <si>
    <t>Red Rock West</t>
  </si>
  <si>
    <t>Guarding Tess</t>
  </si>
  <si>
    <t>Tess und ihr Bodyguard</t>
  </si>
  <si>
    <t>It Could Happen to You</t>
  </si>
  <si>
    <t>2 Millionen Dollar Trinkgeld</t>
  </si>
  <si>
    <t>Trapped in Paradise</t>
  </si>
  <si>
    <t>Schneesturm im Paradies</t>
  </si>
  <si>
    <t>Kiss of Death</t>
  </si>
  <si>
    <t>Leaving Las Vegas</t>
  </si>
  <si>
    <t>The Rock</t>
  </si>
  <si>
    <t>– Fels der Entscheidung</t>
  </si>
  <si>
    <t>Con Air</t>
  </si>
  <si>
    <t>Face/Off</t>
  </si>
  <si>
    <t>Im Körper des Feindes</t>
  </si>
  <si>
    <t>City of Angels</t>
  </si>
  <si>
    <t>Stadt der Engel</t>
  </si>
  <si>
    <t>Snake Eyes</t>
  </si>
  <si>
    <t>Spiel auf Zeit</t>
  </si>
  <si>
    <t>8mm</t>
  </si>
  <si>
    <t>– Acht Millimeter</t>
  </si>
  <si>
    <t>Bringing Out the Dead</t>
  </si>
  <si>
    <t>– Nächte der Erinnerung</t>
  </si>
  <si>
    <t>Gone in 60 Seconds</t>
  </si>
  <si>
    <t>Nur noch 60 Sekunden</t>
  </si>
  <si>
    <t>The Family Man</t>
  </si>
  <si>
    <t>Family Man</t>
  </si>
  <si>
    <t>Captain Corelli's Mandolin</t>
  </si>
  <si>
    <t>Corellis Mandoline</t>
  </si>
  <si>
    <t>Christmas Carol: The Movie</t>
  </si>
  <si>
    <t>Ein Weihnachtsmärchen</t>
  </si>
  <si>
    <t>Adaptation</t>
  </si>
  <si>
    <t>– Der Orchideen-Dieb</t>
  </si>
  <si>
    <t>Sonny</t>
  </si>
  <si>
    <t>Windtalkers</t>
  </si>
  <si>
    <t>Matchstick Men</t>
  </si>
  <si>
    <t>Tricks</t>
  </si>
  <si>
    <t>National Treasure</t>
  </si>
  <si>
    <t>Das Vermächtnis der Tempelritter</t>
  </si>
  <si>
    <t>Lord of War</t>
  </si>
  <si>
    <t>– Händler des Todes</t>
  </si>
  <si>
    <t>The Weather Man</t>
  </si>
  <si>
    <t>The Ant Bully</t>
  </si>
  <si>
    <t>Lucas, der Ameisenschreck</t>
  </si>
  <si>
    <t>The Wicker Man</t>
  </si>
  <si>
    <t>– Ritual des Bösen</t>
  </si>
  <si>
    <t>World Trade Center</t>
  </si>
  <si>
    <t>Ghost Rider</t>
  </si>
  <si>
    <t>National Treasure: Book of Secrets</t>
  </si>
  <si>
    <t>Das Vermächtnis des geheimen Buches</t>
  </si>
  <si>
    <t>Next</t>
  </si>
  <si>
    <t>Bangkok Dangerous</t>
  </si>
  <si>
    <t>Astro Boy</t>
  </si>
  <si>
    <t>– Der Film</t>
  </si>
  <si>
    <t>Bad Lieutenant: Port of Call New Orleans</t>
  </si>
  <si>
    <t>– Cop ohne Gewissen</t>
  </si>
  <si>
    <t>G-Force</t>
  </si>
  <si>
    <t>– Agenten mit Biss</t>
  </si>
  <si>
    <t>Knowing</t>
  </si>
  <si>
    <t>– Die Zukunft endet jetzt</t>
  </si>
  <si>
    <t>Kick-Ass</t>
  </si>
  <si>
    <t>The Sorcerer's Apprentice</t>
  </si>
  <si>
    <t>Duell der Magier</t>
  </si>
  <si>
    <t>Drive Angry</t>
  </si>
  <si>
    <t>Ghost Rider: Spirit of Vengeance</t>
  </si>
  <si>
    <t>Seeking Justice</t>
  </si>
  <si>
    <t>Pakt der Rache</t>
  </si>
  <si>
    <t>Season of the Witch</t>
  </si>
  <si>
    <t>Der letzte Tempelritter</t>
  </si>
  <si>
    <t>Trespass</t>
  </si>
  <si>
    <t>Stolen</t>
  </si>
  <si>
    <t>Joe</t>
  </si>
  <si>
    <t>– Die Rache ist sein</t>
  </si>
  <si>
    <t>The Croods</t>
  </si>
  <si>
    <t>Die Croods</t>
  </si>
  <si>
    <t>The Frozen Ground</t>
  </si>
  <si>
    <t>Frozen Ground</t>
  </si>
  <si>
    <t>Dying of the Light</t>
  </si>
  <si>
    <t>– Jede Minute zählt</t>
  </si>
  <si>
    <t>Left Behind</t>
  </si>
  <si>
    <t>Outcast</t>
  </si>
  <si>
    <t>– Die letzten Tempelritter</t>
  </si>
  <si>
    <t>Tokarev</t>
  </si>
  <si>
    <t>– Die Vergangenheit stirbt niemals</t>
  </si>
  <si>
    <t>Pay the Ghost</t>
  </si>
  <si>
    <t>The Runner</t>
  </si>
  <si>
    <t>Der Kandidat – Macht hat ihren Preis</t>
  </si>
  <si>
    <t>Army of One</t>
  </si>
  <si>
    <t>Dog Eat Dog</t>
  </si>
  <si>
    <t>Snowden</t>
  </si>
  <si>
    <t>The Trust</t>
  </si>
  <si>
    <t>USS Indianapolis: Men of Courage</t>
  </si>
  <si>
    <t>Arsenal</t>
  </si>
  <si>
    <t>Inconceivable</t>
  </si>
  <si>
    <t>Tödliches Verlangen</t>
  </si>
  <si>
    <t>Mom and Dad</t>
  </si>
  <si>
    <t>The Humanity Bureau</t>
  </si>
  <si>
    <t>– Flucht aus New America</t>
  </si>
  <si>
    <t>Vengeance: A Love Story</t>
  </si>
  <si>
    <t>– Pfad der Vergeltung</t>
  </si>
  <si>
    <t>– Cops under Fire</t>
  </si>
  <si>
    <t>Between Worlds</t>
  </si>
  <si>
    <t>Looking Glass</t>
  </si>
  <si>
    <t>Willkommen im Motor Way Motel</t>
  </si>
  <si>
    <t>Mandy</t>
  </si>
  <si>
    <t>Spider-Man: Into the Spider-Verse</t>
  </si>
  <si>
    <t>Spider-Man: A New Universe</t>
  </si>
  <si>
    <t>Teen Titans Go! To the Movies</t>
  </si>
  <si>
    <t>A Score to Settle</t>
  </si>
  <si>
    <t>Color Out of Space</t>
  </si>
  <si>
    <t>Die Farbe aus dem All</t>
  </si>
  <si>
    <t>Grand Isle</t>
  </si>
  <si>
    <t>– Mörderische Falle</t>
  </si>
  <si>
    <t>Kill Chain</t>
  </si>
  <si>
    <t>Primal</t>
  </si>
  <si>
    <t>– Die Jagd ist eröffnet</t>
  </si>
  <si>
    <t>Running with the Devil</t>
  </si>
  <si>
    <t>Jiu Jitsu</t>
  </si>
  <si>
    <t>The Croods: A New Age</t>
  </si>
  <si>
    <t>Die Croods – Alles auf Anfang</t>
  </si>
  <si>
    <t>Pig</t>
  </si>
  <si>
    <t>Prisoners of the Ghostland</t>
  </si>
  <si>
    <t>Willy's Wonderland</t>
  </si>
  <si>
    <t>Butcher's Crossing</t>
  </si>
  <si>
    <t>The Unbearable Weight of Massive Talent</t>
  </si>
  <si>
    <t>Massive Talent</t>
  </si>
  <si>
    <t>Dream Scanario</t>
  </si>
  <si>
    <t>Renfield</t>
  </si>
  <si>
    <t>Sympathy for the Devil</t>
  </si>
  <si>
    <t>The Old Way</t>
  </si>
  <si>
    <t>The Retirement Plan</t>
  </si>
  <si>
    <t>Longlegs</t>
  </si>
  <si>
    <t>Arcadian</t>
  </si>
  <si>
    <t>The Surfer</t>
  </si>
  <si>
    <t>The Carpenter's Son</t>
  </si>
  <si>
    <t>Gunslingers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</si>
</sst>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15">
    <font>
      <sz val="11.0"/>
      <color theme="1"/>
      <name val="Calibri"/>
      <scheme val="minor"/>
    </font>
    <font>
      <sz val="46.0"/>
      <color rgb="FFFFFF00"/>
      <name val="Comic Sans MS"/>
    </font>
    <font>
      <sz val="13.0"/>
      <color rgb="FFFFFFFF"/>
      <name val="Roboto"/>
    </font>
    <font>
      <sz val="29.0"/>
      <color rgb="FFFFFFFF"/>
      <name val="Oswald"/>
    </font>
    <font>
      <sz val="18.0"/>
      <color rgb="FFFFFFFF"/>
      <name val="Oswald"/>
    </font>
    <font>
      <sz val="13.0"/>
      <color theme="1"/>
      <name val="Oswald"/>
    </font>
    <font>
      <sz val="6.0"/>
      <color rgb="FFFFFFFF"/>
      <name val="Roboto"/>
    </font>
    <font>
      <sz val="6.0"/>
      <color rgb="FF000000"/>
      <name val="Roboto Mono"/>
    </font>
    <font>
      <sz val="6.0"/>
      <color theme="1"/>
      <name val="Roboto"/>
    </font>
    <font>
      <sz val="13.0"/>
      <color rgb="FF000000"/>
      <name val="Oswald"/>
    </font>
    <font/>
    <font>
      <b/>
      <sz val="13.0"/>
      <color rgb="FFFFFFFF"/>
      <name val="Roboto"/>
    </font>
    <font>
      <sz val="11.0"/>
      <color rgb="FF000000"/>
      <name val="Roboto"/>
    </font>
    <font>
      <color theme="1"/>
      <name val="Arial"/>
    </font>
    <font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000000"/>
        <bgColor rgb="FF000000"/>
      </patternFill>
    </fill>
    <fill>
      <patternFill patternType="solid">
        <fgColor rgb="FF57BB8A"/>
        <bgColor rgb="FF57BB8A"/>
      </patternFill>
    </fill>
    <fill>
      <patternFill patternType="solid">
        <fgColor rgb="FFF1C232"/>
        <bgColor rgb="FFF1C232"/>
      </patternFill>
    </fill>
    <fill>
      <patternFill patternType="solid">
        <fgColor rgb="FFFD3200"/>
        <bgColor rgb="FFFD3200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right" readingOrder="0" vertical="center"/>
    </xf>
    <xf borderId="0" fillId="3" fontId="3" numFmtId="0" xfId="0" applyAlignment="1" applyFont="1">
      <alignment horizontal="right" readingOrder="0" vertical="center"/>
    </xf>
    <xf borderId="0" fillId="3" fontId="4" numFmtId="0" xfId="0" applyAlignment="1" applyFont="1">
      <alignment horizontal="center" readingOrder="0" vertical="center"/>
    </xf>
    <xf borderId="0" fillId="3" fontId="5" numFmtId="9" xfId="0" applyAlignment="1" applyFont="1" applyNumberFormat="1">
      <alignment horizontal="center" readingOrder="0" vertical="center"/>
    </xf>
    <xf borderId="0" fillId="3" fontId="6" numFmtId="0" xfId="0" applyAlignment="1" applyFont="1">
      <alignment horizontal="right" readingOrder="0" vertical="center"/>
    </xf>
    <xf borderId="0" fillId="0" fontId="7" numFmtId="9" xfId="0" applyAlignment="1" applyFont="1" applyNumberFormat="1">
      <alignment horizontal="center" readingOrder="0" vertical="center"/>
    </xf>
    <xf borderId="0" fillId="3" fontId="6" numFmtId="0" xfId="0" applyAlignment="1" applyFont="1">
      <alignment horizontal="left" readingOrder="0" vertical="center"/>
    </xf>
    <xf borderId="0" fillId="4" fontId="8" numFmtId="0" xfId="0" applyAlignment="1" applyFill="1" applyFont="1">
      <alignment horizontal="left" readingOrder="0" vertical="center"/>
    </xf>
    <xf borderId="1" fillId="5" fontId="9" numFmtId="0" xfId="0" applyAlignment="1" applyBorder="1" applyFill="1" applyFont="1">
      <alignment horizontal="center" vertical="center"/>
    </xf>
    <xf borderId="2" fillId="5" fontId="9" numFmtId="0" xfId="0" applyAlignment="1" applyBorder="1" applyFont="1">
      <alignment horizontal="center" readingOrder="0" vertical="center"/>
    </xf>
    <xf borderId="1" fillId="5" fontId="9" numFmtId="9" xfId="0" applyAlignment="1" applyBorder="1" applyFont="1" applyNumberFormat="1">
      <alignment horizontal="center" vertical="center"/>
    </xf>
    <xf borderId="3" fillId="5" fontId="9" numFmtId="9" xfId="0" applyAlignment="1" applyBorder="1" applyFont="1" applyNumberFormat="1">
      <alignment horizontal="center" vertical="center"/>
    </xf>
    <xf borderId="1" fillId="6" fontId="9" numFmtId="9" xfId="0" applyAlignment="1" applyBorder="1" applyFill="1" applyFont="1" applyNumberFormat="1">
      <alignment horizontal="center" vertical="center"/>
    </xf>
    <xf borderId="3" fillId="0" fontId="10" numFmtId="0" xfId="0" applyBorder="1" applyFont="1"/>
    <xf borderId="4" fillId="5" fontId="11" numFmtId="0" xfId="0" applyAlignment="1" applyBorder="1" applyFont="1">
      <alignment horizontal="center" readingOrder="0" vertical="center"/>
    </xf>
    <xf borderId="5" fillId="7" fontId="12" numFmtId="0" xfId="0" applyAlignment="1" applyBorder="1" applyFill="1" applyFont="1">
      <alignment horizontal="right" vertical="center"/>
    </xf>
    <xf borderId="5" fillId="7" fontId="12" numFmtId="0" xfId="0" applyAlignment="1" applyBorder="1" applyFont="1">
      <alignment horizontal="left" shrinkToFit="0" vertical="center" wrapText="0"/>
    </xf>
    <xf borderId="6" fillId="7" fontId="12" numFmtId="0" xfId="0" applyAlignment="1" applyBorder="1" applyFont="1">
      <alignment readingOrder="0" vertical="center"/>
    </xf>
    <xf borderId="6" fillId="7" fontId="12" numFmtId="9" xfId="0" applyAlignment="1" applyBorder="1" applyFont="1" applyNumberFormat="1">
      <alignment horizontal="center" readingOrder="0" vertical="center"/>
    </xf>
    <xf borderId="7" fillId="7" fontId="12" numFmtId="9" xfId="0" applyAlignment="1" applyBorder="1" applyFont="1" applyNumberFormat="1">
      <alignment horizontal="center" readingOrder="0" vertical="center"/>
    </xf>
    <xf borderId="8" fillId="7" fontId="12" numFmtId="9" xfId="0" applyAlignment="1" applyBorder="1" applyFont="1" applyNumberFormat="1">
      <alignment horizontal="center" readingOrder="0" vertical="center"/>
    </xf>
    <xf borderId="6" fillId="0" fontId="13" numFmtId="9" xfId="0" applyAlignment="1" applyBorder="1" applyFont="1" applyNumberFormat="1">
      <alignment horizontal="center" vertical="center"/>
    </xf>
    <xf borderId="8" fillId="0" fontId="13" numFmtId="9" xfId="0" applyAlignment="1" applyBorder="1" applyFont="1" applyNumberFormat="1">
      <alignment horizontal="center" vertical="center"/>
    </xf>
    <xf borderId="5" fillId="0" fontId="13" numFmtId="164" xfId="0" applyAlignment="1" applyBorder="1" applyFont="1" applyNumberFormat="1">
      <alignment horizontal="center" vertical="center"/>
    </xf>
    <xf borderId="9" fillId="8" fontId="12" numFmtId="0" xfId="0" applyAlignment="1" applyBorder="1" applyFill="1" applyFont="1">
      <alignment horizontal="right" readingOrder="0" vertical="center"/>
    </xf>
    <xf borderId="9" fillId="8" fontId="12" numFmtId="0" xfId="0" applyAlignment="1" applyBorder="1" applyFont="1">
      <alignment horizontal="left" shrinkToFit="0" vertical="center" wrapText="0"/>
    </xf>
    <xf borderId="10" fillId="8" fontId="12" numFmtId="0" xfId="0" applyAlignment="1" applyBorder="1" applyFont="1">
      <alignment vertical="center"/>
    </xf>
    <xf borderId="10" fillId="8" fontId="12" numFmtId="9" xfId="0" applyAlignment="1" applyBorder="1" applyFont="1" applyNumberFormat="1">
      <alignment horizontal="center" readingOrder="0" vertical="center"/>
    </xf>
    <xf borderId="0" fillId="8" fontId="12" numFmtId="9" xfId="0" applyAlignment="1" applyFont="1" applyNumberFormat="1">
      <alignment horizontal="center" readingOrder="0" vertical="center"/>
    </xf>
    <xf borderId="11" fillId="8" fontId="12" numFmtId="9" xfId="0" applyAlignment="1" applyBorder="1" applyFont="1" applyNumberFormat="1">
      <alignment horizontal="center" readingOrder="0" vertical="center"/>
    </xf>
    <xf borderId="10" fillId="0" fontId="13" numFmtId="9" xfId="0" applyAlignment="1" applyBorder="1" applyFont="1" applyNumberFormat="1">
      <alignment horizontal="center" vertical="center"/>
    </xf>
    <xf borderId="11" fillId="0" fontId="13" numFmtId="9" xfId="0" applyAlignment="1" applyBorder="1" applyFont="1" applyNumberFormat="1">
      <alignment horizontal="center" vertical="center"/>
    </xf>
    <xf borderId="9" fillId="0" fontId="13" numFmtId="164" xfId="0" applyAlignment="1" applyBorder="1" applyFont="1" applyNumberFormat="1">
      <alignment horizontal="center" vertical="center"/>
    </xf>
    <xf borderId="9" fillId="8" fontId="12" numFmtId="0" xfId="0" applyAlignment="1" applyBorder="1" applyFont="1">
      <alignment horizontal="right" vertical="center"/>
    </xf>
    <xf borderId="10" fillId="8" fontId="12" numFmtId="0" xfId="0" applyAlignment="1" applyBorder="1" applyFont="1">
      <alignment readingOrder="0" vertical="center"/>
    </xf>
    <xf borderId="9" fillId="7" fontId="12" numFmtId="0" xfId="0" applyAlignment="1" applyBorder="1" applyFont="1">
      <alignment horizontal="right" readingOrder="0" vertical="center"/>
    </xf>
    <xf borderId="9" fillId="7" fontId="12" numFmtId="0" xfId="0" applyAlignment="1" applyBorder="1" applyFont="1">
      <alignment horizontal="left" shrinkToFit="0" vertical="center" wrapText="0"/>
    </xf>
    <xf borderId="10" fillId="7" fontId="12" numFmtId="0" xfId="0" applyAlignment="1" applyBorder="1" applyFont="1">
      <alignment vertical="center"/>
    </xf>
    <xf borderId="10" fillId="7" fontId="12" numFmtId="9" xfId="0" applyAlignment="1" applyBorder="1" applyFont="1" applyNumberFormat="1">
      <alignment horizontal="center" vertical="center"/>
    </xf>
    <xf borderId="0" fillId="7" fontId="12" numFmtId="9" xfId="0" applyAlignment="1" applyFont="1" applyNumberFormat="1">
      <alignment horizontal="center" readingOrder="0" vertical="center"/>
    </xf>
    <xf borderId="11" fillId="7" fontId="12" numFmtId="9" xfId="0" applyAlignment="1" applyBorder="1" applyFont="1" applyNumberFormat="1">
      <alignment horizontal="center" readingOrder="0" vertical="center"/>
    </xf>
    <xf borderId="9" fillId="7" fontId="12" numFmtId="0" xfId="0" applyAlignment="1" applyBorder="1" applyFont="1">
      <alignment horizontal="right" vertical="center"/>
    </xf>
    <xf borderId="10" fillId="7" fontId="12" numFmtId="0" xfId="0" applyAlignment="1" applyBorder="1" applyFont="1">
      <alignment readingOrder="0" vertical="center"/>
    </xf>
    <xf borderId="0" fillId="7" fontId="12" numFmtId="9" xfId="0" applyAlignment="1" applyFont="1" applyNumberFormat="1">
      <alignment horizontal="center" vertical="center"/>
    </xf>
    <xf borderId="9" fillId="7" fontId="12" numFmtId="0" xfId="0" applyAlignment="1" applyBorder="1" applyFont="1">
      <alignment horizontal="left" readingOrder="0" shrinkToFit="0" vertical="center" wrapText="0"/>
    </xf>
    <xf borderId="10" fillId="8" fontId="12" numFmtId="9" xfId="0" applyAlignment="1" applyBorder="1" applyFont="1" applyNumberFormat="1">
      <alignment horizontal="center" vertical="center"/>
    </xf>
    <xf borderId="0" fillId="8" fontId="12" numFmtId="9" xfId="0" applyAlignment="1" applyFont="1" applyNumberFormat="1">
      <alignment horizontal="center" vertical="center"/>
    </xf>
    <xf borderId="10" fillId="0" fontId="13" numFmtId="9" xfId="0" applyAlignment="1" applyBorder="1" applyFont="1" applyNumberFormat="1">
      <alignment horizontal="center" readingOrder="0" vertical="center"/>
    </xf>
    <xf borderId="11" fillId="0" fontId="13" numFmtId="9" xfId="0" applyAlignment="1" applyBorder="1" applyFont="1" applyNumberFormat="1">
      <alignment horizontal="center" readingOrder="0" vertical="center"/>
    </xf>
    <xf borderId="10" fillId="8" fontId="13" numFmtId="9" xfId="0" applyAlignment="1" applyBorder="1" applyFont="1" applyNumberFormat="1">
      <alignment horizontal="center" vertical="center"/>
    </xf>
    <xf borderId="11" fillId="8" fontId="13" numFmtId="9" xfId="0" applyAlignment="1" applyBorder="1" applyFont="1" applyNumberFormat="1">
      <alignment horizontal="center" vertical="center"/>
    </xf>
    <xf borderId="9" fillId="8" fontId="13" numFmtId="164" xfId="0" applyAlignment="1" applyBorder="1" applyFont="1" applyNumberFormat="1">
      <alignment horizontal="center" vertical="center"/>
    </xf>
    <xf borderId="10" fillId="8" fontId="12" numFmtId="0" xfId="0" applyAlignment="1" applyBorder="1" applyFont="1">
      <alignment readingOrder="0" shrinkToFit="0" textRotation="0" vertical="center" wrapText="1"/>
    </xf>
    <xf borderId="9" fillId="8" fontId="12" numFmtId="0" xfId="0" applyAlignment="1" applyBorder="1" applyFont="1">
      <alignment horizontal="left" readingOrder="0" shrinkToFit="0" vertical="center" wrapText="0"/>
    </xf>
    <xf borderId="10" fillId="8" fontId="12" numFmtId="0" xfId="0" applyAlignment="1" applyBorder="1" applyFont="1">
      <alignment readingOrder="0" shrinkToFit="0" vertical="center" wrapText="0"/>
    </xf>
    <xf borderId="10" fillId="7" fontId="13" numFmtId="9" xfId="0" applyAlignment="1" applyBorder="1" applyFont="1" applyNumberFormat="1">
      <alignment horizontal="center" readingOrder="0" vertical="center"/>
    </xf>
    <xf borderId="11" fillId="7" fontId="13" numFmtId="9" xfId="0" applyAlignment="1" applyBorder="1" applyFont="1" applyNumberFormat="1">
      <alignment horizontal="center" readingOrder="0" vertical="center"/>
    </xf>
    <xf borderId="9" fillId="7" fontId="13" numFmtId="164" xfId="0" applyAlignment="1" applyBorder="1" applyFont="1" applyNumberFormat="1">
      <alignment horizontal="center" readingOrder="0" vertical="center"/>
    </xf>
    <xf borderId="10" fillId="8" fontId="13" numFmtId="9" xfId="0" applyAlignment="1" applyBorder="1" applyFont="1" applyNumberFormat="1">
      <alignment horizontal="center" readingOrder="0" vertical="center"/>
    </xf>
    <xf borderId="11" fillId="8" fontId="13" numFmtId="9" xfId="0" applyAlignment="1" applyBorder="1" applyFont="1" applyNumberFormat="1">
      <alignment horizontal="center" readingOrder="0" vertical="center"/>
    </xf>
    <xf borderId="9" fillId="8" fontId="13" numFmtId="164" xfId="0" applyAlignment="1" applyBorder="1" applyFont="1" applyNumberFormat="1">
      <alignment horizontal="center" readingOrder="0" vertical="center"/>
    </xf>
    <xf borderId="10" fillId="7" fontId="12" numFmtId="9" xfId="0" applyAlignment="1" applyBorder="1" applyFont="1" applyNumberFormat="1">
      <alignment horizontal="center" readingOrder="0" vertical="center"/>
    </xf>
    <xf borderId="11" fillId="7" fontId="14" numFmtId="9" xfId="0" applyAlignment="1" applyBorder="1" applyFont="1" applyNumberFormat="1">
      <alignment horizontal="center" vertical="center"/>
    </xf>
    <xf borderId="9" fillId="7" fontId="12" numFmtId="164" xfId="0" applyAlignment="1" applyBorder="1" applyFont="1" applyNumberFormat="1">
      <alignment horizontal="center" readingOrder="0" vertical="center"/>
    </xf>
    <xf borderId="9" fillId="7" fontId="12" numFmtId="0" xfId="0" applyAlignment="1" applyBorder="1" applyFont="1">
      <alignment vertical="center"/>
    </xf>
    <xf borderId="11" fillId="7" fontId="12" numFmtId="9" xfId="0" applyAlignment="1" applyBorder="1" applyFont="1" applyNumberFormat="1">
      <alignment horizontal="center" vertical="center"/>
    </xf>
    <xf borderId="11" fillId="7" fontId="12" numFmtId="0" xfId="0" applyAlignment="1" applyBorder="1" applyFont="1">
      <alignment horizontal="right" vertical="center"/>
    </xf>
    <xf borderId="11" fillId="7" fontId="12" numFmtId="164" xfId="0" applyAlignment="1" applyBorder="1" applyFont="1" applyNumberFormat="1">
      <alignment horizontal="center" readingOrder="0" vertical="center"/>
    </xf>
    <xf borderId="12" fillId="7" fontId="12" numFmtId="0" xfId="0" applyAlignment="1" applyBorder="1" applyFont="1">
      <alignment horizontal="right" vertical="center"/>
    </xf>
    <xf borderId="13" fillId="7" fontId="12" numFmtId="0" xfId="0" applyAlignment="1" applyBorder="1" applyFont="1">
      <alignment horizontal="left" readingOrder="0" shrinkToFit="0" vertical="center" wrapText="0"/>
    </xf>
    <xf borderId="13" fillId="7" fontId="12" numFmtId="0" xfId="0" applyAlignment="1" applyBorder="1" applyFont="1">
      <alignment vertical="center"/>
    </xf>
    <xf borderId="14" fillId="7" fontId="12" numFmtId="9" xfId="0" applyAlignment="1" applyBorder="1" applyFont="1" applyNumberFormat="1">
      <alignment horizontal="center" vertical="center"/>
    </xf>
    <xf borderId="15" fillId="7" fontId="12" numFmtId="9" xfId="0" applyAlignment="1" applyBorder="1" applyFont="1" applyNumberFormat="1">
      <alignment horizontal="center" vertical="center"/>
    </xf>
    <xf borderId="12" fillId="7" fontId="12" numFmtId="9" xfId="0" applyAlignment="1" applyBorder="1" applyFont="1" applyNumberFormat="1">
      <alignment horizontal="center" vertical="center"/>
    </xf>
    <xf borderId="14" fillId="7" fontId="12" numFmtId="9" xfId="0" applyAlignment="1" applyBorder="1" applyFont="1" applyNumberFormat="1">
      <alignment horizontal="center" readingOrder="0" vertical="center"/>
    </xf>
    <xf borderId="12" fillId="7" fontId="12" numFmtId="9" xfId="0" applyAlignment="1" applyBorder="1" applyFont="1" applyNumberFormat="1">
      <alignment horizontal="center" readingOrder="0" vertical="center"/>
    </xf>
    <xf borderId="12" fillId="7" fontId="12" numFmtId="164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695325" cy="45720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</xdr:row>
      <xdr:rowOff>0</xdr:rowOff>
    </xdr:from>
    <xdr:ext cx="333375" cy="3333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0.43"/>
    <col customWidth="1" min="2" max="2" width="46.0"/>
    <col customWidth="1" min="3" max="3" width="46.14"/>
    <col customWidth="1" min="4" max="5" width="10.14"/>
    <col customWidth="1" min="6" max="6" width="10.43"/>
    <col customWidth="1" min="7" max="8" width="5.0"/>
    <col customWidth="1" min="9" max="9" width="9.86"/>
  </cols>
  <sheetData>
    <row r="1" ht="67.5" customHeight="1">
      <c r="A1" s="1" t="s">
        <v>0</v>
      </c>
    </row>
    <row r="2" ht="90.0" customHeight="1">
      <c r="A2" s="2"/>
      <c r="C2" s="3" t="s">
        <v>1</v>
      </c>
      <c r="D2" s="4" t="str">
        <f>IFERROR(__xludf.DUMMYFUNCTION("FILTER(B6:B166, D6:D166 = MAX(D6:D166))"),"Mandy")</f>
        <v>Mandy</v>
      </c>
      <c r="I2" s="5">
        <f>MAX(D6:D166)</f>
        <v>0.98</v>
      </c>
    </row>
    <row r="3" ht="90.0" customHeight="1">
      <c r="C3" s="3" t="s">
        <v>2</v>
      </c>
      <c r="D3" s="4" t="str">
        <f>IFERROR(__xludf.DUMMYFUNCTION("FILTER(B6:B166, E6:E166 = MAX(E6:E166))"),"Mandy")</f>
        <v>Mandy</v>
      </c>
      <c r="I3" s="5">
        <f>MAX(E6:E166)</f>
        <v>0.97</v>
      </c>
    </row>
    <row r="4">
      <c r="C4" s="6" t="s">
        <v>3</v>
      </c>
      <c r="D4" s="7">
        <f>COUNTA(D6:D166)/COUNTA(B6:B166)</f>
        <v>0.2110091743</v>
      </c>
      <c r="E4" s="7">
        <f>COUNTA(E6:E166)/COUNTA(B6:B166)</f>
        <v>0.3577981651</v>
      </c>
      <c r="F4" s="6" t="s">
        <v>4</v>
      </c>
      <c r="G4" s="8" t="s">
        <v>5</v>
      </c>
      <c r="I4" s="9"/>
    </row>
    <row r="5" ht="43.5" customHeight="1">
      <c r="A5" s="10" t="s">
        <v>6</v>
      </c>
      <c r="B5" s="11" t="s">
        <v>7</v>
      </c>
      <c r="C5" s="11" t="s">
        <v>8</v>
      </c>
      <c r="D5" s="12" t="s">
        <v>9</v>
      </c>
      <c r="E5" s="11" t="s">
        <v>10</v>
      </c>
      <c r="F5" s="13" t="s">
        <v>11</v>
      </c>
      <c r="G5" s="14"/>
      <c r="H5" s="15"/>
      <c r="I5" s="16" t="s">
        <v>12</v>
      </c>
    </row>
    <row r="6" ht="17.25" customHeight="1">
      <c r="A6" s="17">
        <v>1982.0</v>
      </c>
      <c r="B6" s="18" t="s">
        <v>13</v>
      </c>
      <c r="C6" s="19" t="s">
        <v>14</v>
      </c>
      <c r="D6" s="20"/>
      <c r="E6" s="21"/>
      <c r="F6" s="22" t="str">
        <f t="shared" ref="F6:F111" si="1">IF(AND(ISBLANK(D6),ISBLANK(E6)),"",(AVERAGE(D6:E6)))</f>
        <v/>
      </c>
      <c r="G6" s="23">
        <v>0.78</v>
      </c>
      <c r="H6" s="24">
        <v>0.8</v>
      </c>
      <c r="I6" s="25">
        <v>7.1</v>
      </c>
    </row>
    <row r="7" ht="17.25" customHeight="1">
      <c r="A7" s="26">
        <v>1983.0</v>
      </c>
      <c r="B7" s="27" t="s">
        <v>15</v>
      </c>
      <c r="C7" s="28"/>
      <c r="D7" s="29"/>
      <c r="E7" s="30"/>
      <c r="F7" s="31" t="str">
        <f t="shared" si="1"/>
        <v/>
      </c>
      <c r="G7" s="32">
        <v>0.75</v>
      </c>
      <c r="H7" s="33">
        <v>0.83</v>
      </c>
      <c r="I7" s="34">
        <v>7.1</v>
      </c>
    </row>
    <row r="8" ht="17.25" customHeight="1">
      <c r="A8" s="35"/>
      <c r="B8" s="27" t="s">
        <v>16</v>
      </c>
      <c r="C8" s="36" t="s">
        <v>17</v>
      </c>
      <c r="D8" s="29"/>
      <c r="E8" s="30"/>
      <c r="F8" s="31" t="str">
        <f t="shared" si="1"/>
        <v/>
      </c>
      <c r="G8" s="32">
        <v>0.83</v>
      </c>
      <c r="H8" s="33">
        <v>0.57</v>
      </c>
      <c r="I8" s="34">
        <v>6.4</v>
      </c>
    </row>
    <row r="9" ht="17.25" customHeight="1">
      <c r="A9" s="37">
        <v>1984.0</v>
      </c>
      <c r="B9" s="38" t="s">
        <v>18</v>
      </c>
      <c r="C9" s="39"/>
      <c r="D9" s="40"/>
      <c r="E9" s="41"/>
      <c r="F9" s="42" t="str">
        <f t="shared" si="1"/>
        <v/>
      </c>
      <c r="G9" s="32">
        <v>0.84</v>
      </c>
      <c r="H9" s="33">
        <v>0.86</v>
      </c>
      <c r="I9" s="34">
        <v>7.2</v>
      </c>
    </row>
    <row r="10" ht="17.25" customHeight="1">
      <c r="A10" s="43"/>
      <c r="B10" s="38" t="s">
        <v>19</v>
      </c>
      <c r="C10" s="44" t="s">
        <v>20</v>
      </c>
      <c r="D10" s="40"/>
      <c r="E10" s="45"/>
      <c r="F10" s="42" t="str">
        <f t="shared" si="1"/>
        <v/>
      </c>
      <c r="G10" s="32">
        <v>0.6</v>
      </c>
      <c r="H10" s="33">
        <v>0.52</v>
      </c>
      <c r="I10" s="34">
        <v>6.6</v>
      </c>
    </row>
    <row r="11" ht="17.25" customHeight="1">
      <c r="A11" s="43"/>
      <c r="B11" s="46" t="s">
        <v>21</v>
      </c>
      <c r="C11" s="39"/>
      <c r="D11" s="40"/>
      <c r="E11" s="45"/>
      <c r="F11" s="42" t="str">
        <f t="shared" si="1"/>
        <v/>
      </c>
      <c r="G11" s="32">
        <v>0.74</v>
      </c>
      <c r="H11" s="33">
        <v>0.56</v>
      </c>
      <c r="I11" s="34">
        <v>6.5</v>
      </c>
    </row>
    <row r="12" ht="17.25" customHeight="1">
      <c r="A12" s="26">
        <v>1986.0</v>
      </c>
      <c r="B12" s="27" t="s">
        <v>22</v>
      </c>
      <c r="C12" s="36" t="s">
        <v>23</v>
      </c>
      <c r="D12" s="47"/>
      <c r="E12" s="48"/>
      <c r="F12" s="31" t="str">
        <f t="shared" si="1"/>
        <v/>
      </c>
      <c r="G12" s="32">
        <v>0.87</v>
      </c>
      <c r="H12" s="33">
        <v>0.56</v>
      </c>
      <c r="I12" s="34">
        <v>6.4</v>
      </c>
    </row>
    <row r="13" ht="17.25" customHeight="1">
      <c r="A13" s="35"/>
      <c r="B13" s="27" t="s">
        <v>24</v>
      </c>
      <c r="C13" s="36" t="s">
        <v>25</v>
      </c>
      <c r="D13" s="47"/>
      <c r="E13" s="48"/>
      <c r="F13" s="31" t="str">
        <f t="shared" si="1"/>
        <v/>
      </c>
      <c r="G13" s="32">
        <v>0.2</v>
      </c>
      <c r="H13" s="33">
        <v>0.36</v>
      </c>
      <c r="I13" s="34">
        <v>5.6</v>
      </c>
    </row>
    <row r="14" ht="17.25" customHeight="1">
      <c r="A14" s="35"/>
      <c r="B14" s="27" t="s">
        <v>26</v>
      </c>
      <c r="C14" s="36" t="s">
        <v>27</v>
      </c>
      <c r="D14" s="47"/>
      <c r="E14" s="48"/>
      <c r="F14" s="31" t="str">
        <f t="shared" si="1"/>
        <v/>
      </c>
      <c r="G14" s="32">
        <v>0.92</v>
      </c>
      <c r="H14" s="33">
        <v>0.8</v>
      </c>
      <c r="I14" s="34">
        <v>7.1</v>
      </c>
    </row>
    <row r="15" ht="17.25" customHeight="1">
      <c r="A15" s="43">
        <v>1987.0</v>
      </c>
      <c r="B15" s="38" t="s">
        <v>28</v>
      </c>
      <c r="C15" s="44" t="s">
        <v>29</v>
      </c>
      <c r="D15" s="40"/>
      <c r="E15" s="45"/>
      <c r="F15" s="42" t="str">
        <f t="shared" si="1"/>
        <v/>
      </c>
      <c r="G15" s="32">
        <v>0.9</v>
      </c>
      <c r="H15" s="33">
        <v>0.85</v>
      </c>
      <c r="I15" s="34">
        <v>7.3</v>
      </c>
    </row>
    <row r="16" ht="17.25" customHeight="1">
      <c r="A16" s="26">
        <v>1989.0</v>
      </c>
      <c r="B16" s="27" t="s">
        <v>30</v>
      </c>
      <c r="C16" s="36"/>
      <c r="D16" s="47"/>
      <c r="E16" s="48"/>
      <c r="F16" s="31" t="str">
        <f t="shared" si="1"/>
        <v/>
      </c>
      <c r="G16" s="32">
        <v>0.65</v>
      </c>
      <c r="H16" s="33">
        <v>0.6</v>
      </c>
      <c r="I16" s="34">
        <v>6.1</v>
      </c>
    </row>
    <row r="17" ht="17.25" customHeight="1">
      <c r="A17" s="37">
        <v>1990.0</v>
      </c>
      <c r="B17" s="38" t="s">
        <v>31</v>
      </c>
      <c r="C17" s="44" t="s">
        <v>32</v>
      </c>
      <c r="D17" s="40"/>
      <c r="E17" s="45"/>
      <c r="F17" s="42" t="str">
        <f t="shared" si="1"/>
        <v/>
      </c>
      <c r="G17" s="32">
        <v>0.1</v>
      </c>
      <c r="H17" s="33">
        <v>0.23</v>
      </c>
      <c r="I17" s="34">
        <v>4.8</v>
      </c>
    </row>
    <row r="18" ht="17.25" customHeight="1">
      <c r="A18" s="37"/>
      <c r="B18" s="38" t="s">
        <v>33</v>
      </c>
      <c r="C18" s="44" t="s">
        <v>34</v>
      </c>
      <c r="D18" s="40">
        <v>0.7</v>
      </c>
      <c r="E18" s="45">
        <v>0.6</v>
      </c>
      <c r="F18" s="42">
        <f t="shared" si="1"/>
        <v>0.65</v>
      </c>
      <c r="G18" s="32">
        <v>0.22</v>
      </c>
      <c r="H18" s="33">
        <v>0.33</v>
      </c>
      <c r="I18" s="34">
        <v>5.2</v>
      </c>
    </row>
    <row r="19" ht="17.25" customHeight="1">
      <c r="A19" s="43"/>
      <c r="B19" s="38" t="s">
        <v>35</v>
      </c>
      <c r="C19" s="44" t="s">
        <v>36</v>
      </c>
      <c r="D19" s="40"/>
      <c r="E19" s="45"/>
      <c r="F19" s="42" t="str">
        <f t="shared" si="1"/>
        <v/>
      </c>
      <c r="G19" s="32">
        <v>0.69</v>
      </c>
      <c r="H19" s="33">
        <v>0.79</v>
      </c>
      <c r="I19" s="34">
        <v>7.2</v>
      </c>
    </row>
    <row r="20" ht="17.25" customHeight="1">
      <c r="A20" s="35">
        <v>1991.0</v>
      </c>
      <c r="B20" s="27" t="s">
        <v>37</v>
      </c>
      <c r="C20" s="36" t="s">
        <v>38</v>
      </c>
      <c r="D20" s="47"/>
      <c r="E20" s="48"/>
      <c r="F20" s="31" t="str">
        <f t="shared" si="1"/>
        <v/>
      </c>
      <c r="G20" s="32">
        <v>0.33</v>
      </c>
      <c r="H20" s="33">
        <v>0.25</v>
      </c>
      <c r="I20" s="34">
        <v>4.4</v>
      </c>
    </row>
    <row r="21" ht="17.25" customHeight="1">
      <c r="A21" s="43">
        <v>1992.0</v>
      </c>
      <c r="B21" s="38" t="s">
        <v>39</v>
      </c>
      <c r="C21" s="44" t="s">
        <v>40</v>
      </c>
      <c r="D21" s="40"/>
      <c r="E21" s="45"/>
      <c r="F21" s="42" t="str">
        <f t="shared" si="1"/>
        <v/>
      </c>
      <c r="G21" s="32">
        <v>0.66</v>
      </c>
      <c r="H21" s="33">
        <v>0.37</v>
      </c>
      <c r="I21" s="34">
        <v>5.8</v>
      </c>
    </row>
    <row r="22" ht="17.25" customHeight="1">
      <c r="A22" s="35">
        <v>1993.0</v>
      </c>
      <c r="B22" s="27" t="s">
        <v>41</v>
      </c>
      <c r="C22" s="36" t="s">
        <v>42</v>
      </c>
      <c r="D22" s="47"/>
      <c r="E22" s="48"/>
      <c r="F22" s="31" t="str">
        <f t="shared" si="1"/>
        <v/>
      </c>
      <c r="G22" s="32">
        <v>0.17</v>
      </c>
      <c r="H22" s="33">
        <v>0.3</v>
      </c>
      <c r="I22" s="34">
        <v>5.6</v>
      </c>
    </row>
    <row r="23" ht="17.25" customHeight="1">
      <c r="A23" s="35"/>
      <c r="B23" s="27" t="s">
        <v>43</v>
      </c>
      <c r="C23" s="28"/>
      <c r="D23" s="47"/>
      <c r="E23" s="48"/>
      <c r="F23" s="31" t="str">
        <f t="shared" si="1"/>
        <v/>
      </c>
      <c r="G23" s="49">
        <v>0.34</v>
      </c>
      <c r="H23" s="50">
        <v>0.37</v>
      </c>
      <c r="I23" s="34">
        <v>3.5</v>
      </c>
    </row>
    <row r="24" ht="17.25" customHeight="1">
      <c r="A24" s="35"/>
      <c r="B24" s="27" t="s">
        <v>44</v>
      </c>
      <c r="C24" s="28"/>
      <c r="D24" s="47"/>
      <c r="E24" s="48"/>
      <c r="F24" s="31" t="str">
        <f t="shared" si="1"/>
        <v/>
      </c>
      <c r="G24" s="32">
        <v>0.97</v>
      </c>
      <c r="H24" s="33">
        <v>0.75</v>
      </c>
      <c r="I24" s="34">
        <v>7.0</v>
      </c>
    </row>
    <row r="25" ht="17.25" customHeight="1">
      <c r="A25" s="43">
        <v>1994.0</v>
      </c>
      <c r="B25" s="38" t="s">
        <v>45</v>
      </c>
      <c r="C25" s="44" t="s">
        <v>46</v>
      </c>
      <c r="D25" s="40"/>
      <c r="E25" s="45"/>
      <c r="F25" s="42" t="str">
        <f t="shared" si="1"/>
        <v/>
      </c>
      <c r="G25" s="32">
        <v>0.57</v>
      </c>
      <c r="H25" s="33">
        <v>0.4</v>
      </c>
      <c r="I25" s="34">
        <v>5.8</v>
      </c>
    </row>
    <row r="26" ht="17.25" customHeight="1">
      <c r="A26" s="43"/>
      <c r="B26" s="38" t="s">
        <v>47</v>
      </c>
      <c r="C26" s="44" t="s">
        <v>48</v>
      </c>
      <c r="D26" s="40"/>
      <c r="E26" s="45"/>
      <c r="F26" s="42" t="str">
        <f t="shared" si="1"/>
        <v/>
      </c>
      <c r="G26" s="32">
        <v>0.71</v>
      </c>
      <c r="H26" s="33">
        <v>0.59</v>
      </c>
      <c r="I26" s="34">
        <v>6.4</v>
      </c>
    </row>
    <row r="27" ht="17.25" customHeight="1">
      <c r="A27" s="43"/>
      <c r="B27" s="38" t="s">
        <v>49</v>
      </c>
      <c r="C27" s="44" t="s">
        <v>50</v>
      </c>
      <c r="D27" s="40"/>
      <c r="E27" s="45"/>
      <c r="F27" s="42" t="str">
        <f t="shared" si="1"/>
        <v/>
      </c>
      <c r="G27" s="32">
        <v>0.1</v>
      </c>
      <c r="H27" s="33">
        <v>0.45</v>
      </c>
      <c r="I27" s="34">
        <v>5.9</v>
      </c>
    </row>
    <row r="28" ht="17.25" customHeight="1">
      <c r="A28" s="35">
        <v>1995.0</v>
      </c>
      <c r="B28" s="27" t="s">
        <v>51</v>
      </c>
      <c r="C28" s="28"/>
      <c r="D28" s="47"/>
      <c r="E28" s="48"/>
      <c r="F28" s="31" t="str">
        <f t="shared" si="1"/>
        <v/>
      </c>
      <c r="G28" s="32">
        <v>0.68</v>
      </c>
      <c r="H28" s="33">
        <v>0.33</v>
      </c>
      <c r="I28" s="34">
        <v>5.9</v>
      </c>
    </row>
    <row r="29" ht="17.25" customHeight="1">
      <c r="A29" s="35"/>
      <c r="B29" s="27" t="s">
        <v>52</v>
      </c>
      <c r="C29" s="28"/>
      <c r="D29" s="47"/>
      <c r="E29" s="48"/>
      <c r="F29" s="31" t="str">
        <f t="shared" si="1"/>
        <v/>
      </c>
      <c r="G29" s="32">
        <v>0.91</v>
      </c>
      <c r="H29" s="33">
        <v>0.85</v>
      </c>
      <c r="I29" s="34">
        <v>7.5</v>
      </c>
    </row>
    <row r="30" ht="17.25" customHeight="1">
      <c r="A30" s="43">
        <v>1996.0</v>
      </c>
      <c r="B30" s="38" t="s">
        <v>53</v>
      </c>
      <c r="C30" s="44" t="s">
        <v>54</v>
      </c>
      <c r="D30" s="40">
        <v>0.84</v>
      </c>
      <c r="E30" s="45">
        <v>0.8</v>
      </c>
      <c r="F30" s="42">
        <f t="shared" si="1"/>
        <v>0.82</v>
      </c>
      <c r="G30" s="32">
        <v>0.67</v>
      </c>
      <c r="H30" s="33">
        <v>0.85</v>
      </c>
      <c r="I30" s="34">
        <v>7.4</v>
      </c>
    </row>
    <row r="31" ht="17.25" customHeight="1">
      <c r="A31" s="35">
        <v>1997.0</v>
      </c>
      <c r="B31" s="27" t="s">
        <v>55</v>
      </c>
      <c r="C31" s="28"/>
      <c r="D31" s="47"/>
      <c r="E31" s="30">
        <v>0.72</v>
      </c>
      <c r="F31" s="31">
        <f t="shared" si="1"/>
        <v>0.72</v>
      </c>
      <c r="G31" s="32">
        <v>0.58</v>
      </c>
      <c r="H31" s="33">
        <v>0.75</v>
      </c>
      <c r="I31" s="34">
        <v>6.9</v>
      </c>
    </row>
    <row r="32" ht="17.25" customHeight="1">
      <c r="A32" s="35"/>
      <c r="B32" s="27" t="s">
        <v>56</v>
      </c>
      <c r="C32" s="36" t="s">
        <v>57</v>
      </c>
      <c r="D32" s="47"/>
      <c r="E32" s="30">
        <v>0.82</v>
      </c>
      <c r="F32" s="31">
        <f t="shared" si="1"/>
        <v>0.82</v>
      </c>
      <c r="G32" s="32">
        <v>0.93</v>
      </c>
      <c r="H32" s="33">
        <v>0.82</v>
      </c>
      <c r="I32" s="34">
        <v>7.3</v>
      </c>
    </row>
    <row r="33" ht="17.25" customHeight="1">
      <c r="A33" s="43">
        <v>1998.0</v>
      </c>
      <c r="B33" s="38" t="s">
        <v>58</v>
      </c>
      <c r="C33" s="44" t="s">
        <v>59</v>
      </c>
      <c r="D33" s="40"/>
      <c r="E33" s="45"/>
      <c r="F33" s="42" t="str">
        <f t="shared" si="1"/>
        <v/>
      </c>
      <c r="G33" s="49">
        <v>0.57</v>
      </c>
      <c r="H33" s="50">
        <v>0.82</v>
      </c>
      <c r="I33" s="34">
        <v>6.7</v>
      </c>
    </row>
    <row r="34" ht="17.25" customHeight="1">
      <c r="A34" s="43"/>
      <c r="B34" s="38" t="s">
        <v>60</v>
      </c>
      <c r="C34" s="44" t="s">
        <v>61</v>
      </c>
      <c r="D34" s="40">
        <v>0.95</v>
      </c>
      <c r="E34" s="45">
        <v>0.95</v>
      </c>
      <c r="F34" s="42">
        <f t="shared" si="1"/>
        <v>0.95</v>
      </c>
      <c r="G34" s="32">
        <v>0.42</v>
      </c>
      <c r="H34" s="33">
        <v>0.37</v>
      </c>
      <c r="I34" s="34">
        <v>6.1</v>
      </c>
    </row>
    <row r="35" ht="17.25" customHeight="1">
      <c r="A35" s="35">
        <v>1999.0</v>
      </c>
      <c r="B35" s="27" t="s">
        <v>62</v>
      </c>
      <c r="C35" s="36" t="s">
        <v>63</v>
      </c>
      <c r="D35" s="47">
        <v>0.8</v>
      </c>
      <c r="E35" s="48">
        <v>0.85</v>
      </c>
      <c r="F35" s="31">
        <f t="shared" si="1"/>
        <v>0.825</v>
      </c>
      <c r="G35" s="32">
        <v>0.23</v>
      </c>
      <c r="H35" s="33">
        <v>0.59</v>
      </c>
      <c r="I35" s="34">
        <v>6.6</v>
      </c>
    </row>
    <row r="36" ht="17.25" customHeight="1">
      <c r="A36" s="35"/>
      <c r="B36" s="27" t="s">
        <v>64</v>
      </c>
      <c r="C36" s="36" t="s">
        <v>65</v>
      </c>
      <c r="D36" s="47"/>
      <c r="E36" s="48"/>
      <c r="F36" s="31" t="str">
        <f t="shared" si="1"/>
        <v/>
      </c>
      <c r="G36" s="32">
        <v>0.73</v>
      </c>
      <c r="H36" s="33">
        <v>0.66</v>
      </c>
      <c r="I36" s="34">
        <v>6.8</v>
      </c>
    </row>
    <row r="37" ht="17.25" customHeight="1">
      <c r="A37" s="43">
        <v>2000.0</v>
      </c>
      <c r="B37" s="38" t="s">
        <v>66</v>
      </c>
      <c r="C37" s="44" t="s">
        <v>67</v>
      </c>
      <c r="D37" s="40">
        <v>0.75</v>
      </c>
      <c r="E37" s="45">
        <v>0.72</v>
      </c>
      <c r="F37" s="42">
        <f t="shared" si="1"/>
        <v>0.735</v>
      </c>
      <c r="G37" s="32">
        <v>0.25</v>
      </c>
      <c r="H37" s="33">
        <v>0.77</v>
      </c>
      <c r="I37" s="34">
        <v>6.5</v>
      </c>
    </row>
    <row r="38" ht="17.25" customHeight="1">
      <c r="A38" s="43"/>
      <c r="B38" s="38" t="s">
        <v>68</v>
      </c>
      <c r="C38" s="44" t="s">
        <v>69</v>
      </c>
      <c r="D38" s="40"/>
      <c r="E38" s="45"/>
      <c r="F38" s="42" t="str">
        <f t="shared" si="1"/>
        <v/>
      </c>
      <c r="G38" s="32">
        <v>0.53</v>
      </c>
      <c r="H38" s="33">
        <v>0.68</v>
      </c>
      <c r="I38" s="34">
        <v>6.8</v>
      </c>
    </row>
    <row r="39" ht="17.25" customHeight="1">
      <c r="A39" s="35">
        <v>2001.0</v>
      </c>
      <c r="B39" s="27" t="s">
        <v>70</v>
      </c>
      <c r="C39" s="36" t="s">
        <v>71</v>
      </c>
      <c r="D39" s="47"/>
      <c r="E39" s="48"/>
      <c r="F39" s="31" t="str">
        <f t="shared" si="1"/>
        <v/>
      </c>
      <c r="G39" s="51">
        <v>0.28</v>
      </c>
      <c r="H39" s="52">
        <v>0.5</v>
      </c>
      <c r="I39" s="53">
        <v>5.9</v>
      </c>
    </row>
    <row r="40" ht="17.25" customHeight="1">
      <c r="A40" s="35"/>
      <c r="B40" s="27" t="s">
        <v>72</v>
      </c>
      <c r="C40" s="36" t="s">
        <v>73</v>
      </c>
      <c r="D40" s="47"/>
      <c r="E40" s="48"/>
      <c r="F40" s="31" t="str">
        <f t="shared" si="1"/>
        <v/>
      </c>
      <c r="G40" s="51">
        <v>0.13</v>
      </c>
      <c r="H40" s="52">
        <v>0.29</v>
      </c>
      <c r="I40" s="53">
        <v>5.3</v>
      </c>
    </row>
    <row r="41" ht="17.25" customHeight="1">
      <c r="A41" s="37">
        <v>2002.0</v>
      </c>
      <c r="B41" s="38" t="s">
        <v>74</v>
      </c>
      <c r="C41" s="44" t="s">
        <v>75</v>
      </c>
      <c r="D41" s="40"/>
      <c r="E41" s="45"/>
      <c r="F41" s="42" t="str">
        <f t="shared" si="1"/>
        <v/>
      </c>
      <c r="G41" s="32">
        <v>0.9</v>
      </c>
      <c r="H41" s="33">
        <v>0.84</v>
      </c>
      <c r="I41" s="34">
        <v>7.7</v>
      </c>
    </row>
    <row r="42" ht="17.25" customHeight="1">
      <c r="A42" s="37"/>
      <c r="B42" s="38" t="s">
        <v>76</v>
      </c>
      <c r="C42" s="39"/>
      <c r="D42" s="40"/>
      <c r="E42" s="45"/>
      <c r="F42" s="42" t="str">
        <f t="shared" si="1"/>
        <v/>
      </c>
      <c r="G42" s="32">
        <v>0.21</v>
      </c>
      <c r="H42" s="33">
        <v>0.45</v>
      </c>
      <c r="I42" s="34">
        <v>5.5</v>
      </c>
    </row>
    <row r="43" ht="17.25" customHeight="1">
      <c r="A43" s="43"/>
      <c r="B43" s="38" t="s">
        <v>77</v>
      </c>
      <c r="C43" s="39"/>
      <c r="D43" s="40"/>
      <c r="E43" s="45"/>
      <c r="F43" s="42" t="str">
        <f t="shared" si="1"/>
        <v/>
      </c>
      <c r="G43" s="32">
        <v>0.33</v>
      </c>
      <c r="H43" s="33">
        <v>0.5</v>
      </c>
      <c r="I43" s="34">
        <v>6.1</v>
      </c>
    </row>
    <row r="44" ht="17.25" customHeight="1">
      <c r="A44" s="26">
        <v>2003.0</v>
      </c>
      <c r="B44" s="27" t="s">
        <v>78</v>
      </c>
      <c r="C44" s="36" t="s">
        <v>79</v>
      </c>
      <c r="D44" s="47"/>
      <c r="E44" s="48"/>
      <c r="F44" s="31" t="str">
        <f t="shared" si="1"/>
        <v/>
      </c>
      <c r="G44" s="32">
        <v>0.82</v>
      </c>
      <c r="H44" s="33">
        <v>0.73</v>
      </c>
      <c r="I44" s="34">
        <v>7.3</v>
      </c>
    </row>
    <row r="45" ht="17.25" customHeight="1">
      <c r="A45" s="43">
        <v>2004.0</v>
      </c>
      <c r="B45" s="38" t="s">
        <v>80</v>
      </c>
      <c r="C45" s="44" t="s">
        <v>81</v>
      </c>
      <c r="D45" s="40">
        <v>0.62</v>
      </c>
      <c r="E45" s="45">
        <v>0.65</v>
      </c>
      <c r="F45" s="42">
        <f t="shared" si="1"/>
        <v>0.635</v>
      </c>
      <c r="G45" s="32">
        <v>0.46</v>
      </c>
      <c r="H45" s="33">
        <v>0.76</v>
      </c>
      <c r="I45" s="34">
        <v>6.9</v>
      </c>
    </row>
    <row r="46" ht="17.25" customHeight="1">
      <c r="A46" s="35">
        <v>2005.0</v>
      </c>
      <c r="B46" s="27" t="s">
        <v>82</v>
      </c>
      <c r="C46" s="36" t="s">
        <v>83</v>
      </c>
      <c r="D46" s="47"/>
      <c r="E46" s="30">
        <v>0.9</v>
      </c>
      <c r="F46" s="31">
        <f t="shared" si="1"/>
        <v>0.9</v>
      </c>
      <c r="G46" s="32">
        <v>0.62</v>
      </c>
      <c r="H46" s="33">
        <v>0.84</v>
      </c>
      <c r="I46" s="34">
        <v>7.6</v>
      </c>
    </row>
    <row r="47" ht="17.25" customHeight="1">
      <c r="A47" s="35"/>
      <c r="B47" s="27" t="s">
        <v>84</v>
      </c>
      <c r="C47" s="28"/>
      <c r="D47" s="47"/>
      <c r="E47" s="48"/>
      <c r="F47" s="31" t="str">
        <f t="shared" si="1"/>
        <v/>
      </c>
      <c r="G47" s="32">
        <v>0.6</v>
      </c>
      <c r="H47" s="33">
        <v>0.58</v>
      </c>
      <c r="I47" s="34">
        <v>6.6</v>
      </c>
    </row>
    <row r="48" ht="17.25" customHeight="1">
      <c r="A48" s="43">
        <v>2006.0</v>
      </c>
      <c r="B48" s="38" t="s">
        <v>85</v>
      </c>
      <c r="C48" s="44" t="s">
        <v>86</v>
      </c>
      <c r="D48" s="40"/>
      <c r="E48" s="45"/>
      <c r="F48" s="42" t="str">
        <f t="shared" si="1"/>
        <v/>
      </c>
      <c r="G48" s="32">
        <v>0.62</v>
      </c>
      <c r="H48" s="33">
        <v>0.43</v>
      </c>
      <c r="I48" s="34">
        <v>5.9</v>
      </c>
    </row>
    <row r="49" ht="17.25" customHeight="1">
      <c r="A49" s="43"/>
      <c r="B49" s="38" t="s">
        <v>87</v>
      </c>
      <c r="C49" s="44" t="s">
        <v>88</v>
      </c>
      <c r="D49" s="40"/>
      <c r="E49" s="41">
        <v>0.35</v>
      </c>
      <c r="F49" s="42">
        <f t="shared" si="1"/>
        <v>0.35</v>
      </c>
      <c r="G49" s="32">
        <v>0.15</v>
      </c>
      <c r="H49" s="33">
        <v>0.17</v>
      </c>
      <c r="I49" s="34">
        <v>3.8</v>
      </c>
    </row>
    <row r="50" ht="17.25" customHeight="1">
      <c r="A50" s="43"/>
      <c r="B50" s="38" t="s">
        <v>89</v>
      </c>
      <c r="C50" s="39"/>
      <c r="D50" s="40">
        <v>0.4</v>
      </c>
      <c r="E50" s="45">
        <v>0.61</v>
      </c>
      <c r="F50" s="42">
        <f t="shared" si="1"/>
        <v>0.505</v>
      </c>
      <c r="G50" s="32">
        <v>0.66</v>
      </c>
      <c r="H50" s="33">
        <v>0.62</v>
      </c>
      <c r="I50" s="34">
        <v>6.0</v>
      </c>
    </row>
    <row r="51" ht="17.25" customHeight="1">
      <c r="A51" s="35">
        <v>2007.0</v>
      </c>
      <c r="B51" s="27" t="s">
        <v>90</v>
      </c>
      <c r="C51" s="28"/>
      <c r="D51" s="47">
        <v>0.73</v>
      </c>
      <c r="E51" s="48">
        <v>0.69</v>
      </c>
      <c r="F51" s="31">
        <f t="shared" si="1"/>
        <v>0.71</v>
      </c>
      <c r="G51" s="32">
        <v>0.27</v>
      </c>
      <c r="H51" s="33">
        <v>0.48</v>
      </c>
      <c r="I51" s="34">
        <v>5.3</v>
      </c>
    </row>
    <row r="52" ht="17.25" customHeight="1">
      <c r="A52" s="35"/>
      <c r="B52" s="27" t="s">
        <v>91</v>
      </c>
      <c r="C52" s="54" t="s">
        <v>92</v>
      </c>
      <c r="D52" s="47">
        <v>0.76</v>
      </c>
      <c r="E52" s="48">
        <v>0.75</v>
      </c>
      <c r="F52" s="31">
        <f t="shared" si="1"/>
        <v>0.755</v>
      </c>
      <c r="G52" s="32">
        <v>0.36</v>
      </c>
      <c r="H52" s="33">
        <v>0.67</v>
      </c>
      <c r="I52" s="34">
        <v>6.5</v>
      </c>
    </row>
    <row r="53" ht="17.25" customHeight="1">
      <c r="A53" s="35"/>
      <c r="B53" s="27" t="s">
        <v>93</v>
      </c>
      <c r="C53" s="28"/>
      <c r="D53" s="47"/>
      <c r="E53" s="48"/>
      <c r="F53" s="31" t="str">
        <f t="shared" si="1"/>
        <v/>
      </c>
      <c r="G53" s="32">
        <v>0.28</v>
      </c>
      <c r="H53" s="33">
        <v>0.57</v>
      </c>
      <c r="I53" s="34">
        <v>6.2</v>
      </c>
    </row>
    <row r="54" ht="17.25" customHeight="1">
      <c r="A54" s="43">
        <v>2008.0</v>
      </c>
      <c r="B54" s="38" t="s">
        <v>94</v>
      </c>
      <c r="C54" s="39"/>
      <c r="D54" s="40"/>
      <c r="E54" s="45"/>
      <c r="F54" s="42" t="str">
        <f t="shared" si="1"/>
        <v/>
      </c>
      <c r="G54" s="32">
        <v>0.08</v>
      </c>
      <c r="H54" s="33">
        <v>0.24</v>
      </c>
      <c r="I54" s="34">
        <v>5.3</v>
      </c>
    </row>
    <row r="55" ht="17.25" customHeight="1">
      <c r="A55" s="26">
        <v>2009.0</v>
      </c>
      <c r="B55" s="27" t="s">
        <v>95</v>
      </c>
      <c r="C55" s="36" t="s">
        <v>96</v>
      </c>
      <c r="D55" s="47"/>
      <c r="E55" s="48"/>
      <c r="F55" s="31" t="str">
        <f t="shared" si="1"/>
        <v/>
      </c>
      <c r="G55" s="32">
        <v>0.5</v>
      </c>
      <c r="H55" s="33">
        <v>0.5</v>
      </c>
      <c r="I55" s="34">
        <v>6.2</v>
      </c>
    </row>
    <row r="56" ht="17.25" customHeight="1">
      <c r="A56" s="35"/>
      <c r="B56" s="27" t="s">
        <v>97</v>
      </c>
      <c r="C56" s="36" t="s">
        <v>98</v>
      </c>
      <c r="D56" s="47"/>
      <c r="E56" s="48"/>
      <c r="F56" s="31" t="str">
        <f t="shared" si="1"/>
        <v/>
      </c>
      <c r="G56" s="32">
        <v>0.86</v>
      </c>
      <c r="H56" s="33">
        <v>0.58</v>
      </c>
      <c r="I56" s="34">
        <v>6.6</v>
      </c>
    </row>
    <row r="57" ht="17.25" customHeight="1">
      <c r="A57" s="35"/>
      <c r="B57" s="27" t="s">
        <v>99</v>
      </c>
      <c r="C57" s="36" t="s">
        <v>100</v>
      </c>
      <c r="D57" s="47"/>
      <c r="E57" s="30">
        <v>0.69</v>
      </c>
      <c r="F57" s="31">
        <f t="shared" si="1"/>
        <v>0.69</v>
      </c>
      <c r="G57" s="32">
        <v>0.22</v>
      </c>
      <c r="H57" s="33">
        <v>0.38</v>
      </c>
      <c r="I57" s="34">
        <v>5.1</v>
      </c>
    </row>
    <row r="58" ht="17.25" customHeight="1">
      <c r="A58" s="35"/>
      <c r="B58" s="27" t="s">
        <v>101</v>
      </c>
      <c r="C58" s="36" t="s">
        <v>102</v>
      </c>
      <c r="D58" s="47"/>
      <c r="E58" s="48"/>
      <c r="F58" s="31" t="str">
        <f t="shared" si="1"/>
        <v/>
      </c>
      <c r="G58" s="32">
        <v>0.34</v>
      </c>
      <c r="H58" s="33">
        <v>0.48</v>
      </c>
      <c r="I58" s="34">
        <v>6.2</v>
      </c>
    </row>
    <row r="59" ht="17.25" customHeight="1">
      <c r="A59" s="43">
        <v>2010.0</v>
      </c>
      <c r="B59" s="38" t="s">
        <v>103</v>
      </c>
      <c r="C59" s="39"/>
      <c r="D59" s="40"/>
      <c r="E59" s="41">
        <v>0.88</v>
      </c>
      <c r="F59" s="42">
        <f t="shared" si="1"/>
        <v>0.88</v>
      </c>
      <c r="G59" s="32">
        <v>0.77</v>
      </c>
      <c r="H59" s="33">
        <v>0.81</v>
      </c>
      <c r="I59" s="34">
        <v>7.6</v>
      </c>
    </row>
    <row r="60" ht="17.25" customHeight="1">
      <c r="A60" s="43"/>
      <c r="B60" s="38" t="s">
        <v>104</v>
      </c>
      <c r="C60" s="44" t="s">
        <v>105</v>
      </c>
      <c r="D60" s="40">
        <v>0.65</v>
      </c>
      <c r="E60" s="45">
        <v>0.59</v>
      </c>
      <c r="F60" s="42">
        <f t="shared" si="1"/>
        <v>0.62</v>
      </c>
      <c r="G60" s="32">
        <v>0.4</v>
      </c>
      <c r="H60" s="33">
        <v>0.53</v>
      </c>
      <c r="I60" s="34">
        <v>6.1</v>
      </c>
    </row>
    <row r="61" ht="17.25" customHeight="1">
      <c r="A61" s="26">
        <v>2011.0</v>
      </c>
      <c r="B61" s="27" t="s">
        <v>106</v>
      </c>
      <c r="C61" s="28"/>
      <c r="D61" s="47"/>
      <c r="E61" s="48"/>
      <c r="F61" s="31" t="str">
        <f t="shared" si="1"/>
        <v/>
      </c>
      <c r="G61" s="32">
        <v>0.47</v>
      </c>
      <c r="H61" s="33">
        <v>0.35</v>
      </c>
      <c r="I61" s="34">
        <v>5.4</v>
      </c>
    </row>
    <row r="62" ht="17.25" customHeight="1">
      <c r="A62" s="35"/>
      <c r="B62" s="27" t="s">
        <v>107</v>
      </c>
      <c r="C62" s="28"/>
      <c r="D62" s="47"/>
      <c r="E62" s="30">
        <v>0.49</v>
      </c>
      <c r="F62" s="31">
        <f t="shared" si="1"/>
        <v>0.49</v>
      </c>
      <c r="G62" s="32">
        <v>0.19</v>
      </c>
      <c r="H62" s="33">
        <v>0.31</v>
      </c>
      <c r="I62" s="34">
        <v>4.3</v>
      </c>
    </row>
    <row r="63" ht="17.25" customHeight="1">
      <c r="A63" s="35"/>
      <c r="B63" s="55" t="s">
        <v>108</v>
      </c>
      <c r="C63" s="36" t="s">
        <v>109</v>
      </c>
      <c r="D63" s="47"/>
      <c r="E63" s="48"/>
      <c r="F63" s="31" t="str">
        <f t="shared" si="1"/>
        <v/>
      </c>
      <c r="G63" s="32">
        <v>0.28</v>
      </c>
      <c r="H63" s="33">
        <v>0.36</v>
      </c>
      <c r="I63" s="34">
        <v>6.1</v>
      </c>
    </row>
    <row r="64" ht="17.25" customHeight="1">
      <c r="A64" s="35"/>
      <c r="B64" s="27" t="s">
        <v>110</v>
      </c>
      <c r="C64" s="36" t="s">
        <v>111</v>
      </c>
      <c r="D64" s="47">
        <v>0.52</v>
      </c>
      <c r="E64" s="48">
        <v>0.57</v>
      </c>
      <c r="F64" s="31">
        <f t="shared" si="1"/>
        <v>0.545</v>
      </c>
      <c r="G64" s="32">
        <v>0.11</v>
      </c>
      <c r="H64" s="33">
        <v>0.29</v>
      </c>
      <c r="I64" s="34">
        <v>5.4</v>
      </c>
    </row>
    <row r="65" ht="17.25" customHeight="1">
      <c r="A65" s="37">
        <v>2011.0</v>
      </c>
      <c r="B65" s="38" t="s">
        <v>112</v>
      </c>
      <c r="C65" s="39"/>
      <c r="D65" s="40"/>
      <c r="E65" s="45"/>
      <c r="F65" s="42" t="str">
        <f t="shared" si="1"/>
        <v/>
      </c>
      <c r="G65" s="32">
        <v>0.1</v>
      </c>
      <c r="H65" s="33">
        <v>0.22</v>
      </c>
      <c r="I65" s="34">
        <v>5.3</v>
      </c>
    </row>
    <row r="66" ht="17.25" customHeight="1">
      <c r="A66" s="43"/>
      <c r="B66" s="38" t="s">
        <v>113</v>
      </c>
      <c r="C66" s="39"/>
      <c r="D66" s="40">
        <v>0.69</v>
      </c>
      <c r="E66" s="45">
        <v>0.69</v>
      </c>
      <c r="F66" s="42">
        <f t="shared" si="1"/>
        <v>0.69</v>
      </c>
      <c r="G66" s="32">
        <v>0.2</v>
      </c>
      <c r="H66" s="33">
        <v>0.33</v>
      </c>
      <c r="I66" s="34">
        <v>5.5</v>
      </c>
    </row>
    <row r="67" ht="17.25" customHeight="1">
      <c r="A67" s="26">
        <v>2012.0</v>
      </c>
      <c r="B67" s="27" t="s">
        <v>114</v>
      </c>
      <c r="C67" s="36" t="s">
        <v>115</v>
      </c>
      <c r="D67" s="47"/>
      <c r="E67" s="48"/>
      <c r="F67" s="31" t="str">
        <f t="shared" si="1"/>
        <v/>
      </c>
      <c r="G67" s="32">
        <v>0.86</v>
      </c>
      <c r="H67" s="33">
        <v>0.64</v>
      </c>
      <c r="I67" s="34">
        <v>6.9</v>
      </c>
    </row>
    <row r="68" ht="17.25" customHeight="1">
      <c r="A68" s="43">
        <v>2013.0</v>
      </c>
      <c r="B68" s="38" t="s">
        <v>116</v>
      </c>
      <c r="C68" s="44" t="s">
        <v>117</v>
      </c>
      <c r="D68" s="40"/>
      <c r="E68" s="45"/>
      <c r="F68" s="42" t="str">
        <f t="shared" si="1"/>
        <v/>
      </c>
      <c r="G68" s="32">
        <v>0.72</v>
      </c>
      <c r="H68" s="33">
        <v>0.77</v>
      </c>
      <c r="I68" s="34">
        <v>7.2</v>
      </c>
    </row>
    <row r="69" ht="17.25" customHeight="1">
      <c r="A69" s="43"/>
      <c r="B69" s="38" t="s">
        <v>118</v>
      </c>
      <c r="C69" s="44" t="s">
        <v>119</v>
      </c>
      <c r="D69" s="40"/>
      <c r="E69" s="41">
        <v>0.5</v>
      </c>
      <c r="F69" s="42">
        <f t="shared" si="1"/>
        <v>0.5</v>
      </c>
      <c r="G69" s="32">
        <v>0.61</v>
      </c>
      <c r="H69" s="33">
        <v>0.53</v>
      </c>
      <c r="I69" s="34">
        <v>6.4</v>
      </c>
    </row>
    <row r="70" ht="17.25" customHeight="1">
      <c r="A70" s="26">
        <v>2014.0</v>
      </c>
      <c r="B70" s="27" t="s">
        <v>120</v>
      </c>
      <c r="C70" s="36" t="s">
        <v>121</v>
      </c>
      <c r="D70" s="29">
        <v>0.2</v>
      </c>
      <c r="E70" s="48">
        <v>0.2</v>
      </c>
      <c r="F70" s="31">
        <f t="shared" si="1"/>
        <v>0.2</v>
      </c>
      <c r="G70" s="32">
        <v>0.1</v>
      </c>
      <c r="H70" s="33">
        <v>0.23</v>
      </c>
      <c r="I70" s="34">
        <v>4.4</v>
      </c>
    </row>
    <row r="71" ht="17.25" customHeight="1">
      <c r="A71" s="35"/>
      <c r="B71" s="27" t="s">
        <v>122</v>
      </c>
      <c r="C71" s="28"/>
      <c r="D71" s="47">
        <v>0.12</v>
      </c>
      <c r="E71" s="48">
        <v>0.51</v>
      </c>
      <c r="F71" s="31">
        <f t="shared" si="1"/>
        <v>0.315</v>
      </c>
      <c r="G71" s="32">
        <v>0.0</v>
      </c>
      <c r="H71" s="33">
        <v>0.57</v>
      </c>
      <c r="I71" s="34">
        <v>3.1</v>
      </c>
    </row>
    <row r="72" ht="17.25" customHeight="1">
      <c r="A72" s="35"/>
      <c r="B72" s="27" t="s">
        <v>123</v>
      </c>
      <c r="C72" s="36" t="s">
        <v>124</v>
      </c>
      <c r="D72" s="47"/>
      <c r="E72" s="48"/>
      <c r="F72" s="31" t="str">
        <f t="shared" si="1"/>
        <v/>
      </c>
      <c r="G72" s="32">
        <v>0.04</v>
      </c>
      <c r="H72" s="33">
        <v>0.25</v>
      </c>
      <c r="I72" s="34">
        <v>4.6</v>
      </c>
    </row>
    <row r="73" ht="17.25" customHeight="1">
      <c r="A73" s="35"/>
      <c r="B73" s="55" t="s">
        <v>125</v>
      </c>
      <c r="C73" s="36" t="s">
        <v>126</v>
      </c>
      <c r="D73" s="47"/>
      <c r="E73" s="48"/>
      <c r="F73" s="31" t="str">
        <f t="shared" si="1"/>
        <v/>
      </c>
      <c r="G73" s="32">
        <v>0.12</v>
      </c>
      <c r="H73" s="33">
        <v>0.21</v>
      </c>
      <c r="I73" s="34">
        <v>5.0</v>
      </c>
    </row>
    <row r="74" ht="17.25" customHeight="1">
      <c r="A74" s="37">
        <v>2015.0</v>
      </c>
      <c r="B74" s="38" t="s">
        <v>127</v>
      </c>
      <c r="C74" s="39"/>
      <c r="D74" s="40"/>
      <c r="E74" s="45"/>
      <c r="F74" s="42" t="str">
        <f t="shared" si="1"/>
        <v/>
      </c>
      <c r="G74" s="32">
        <v>0.1</v>
      </c>
      <c r="H74" s="33">
        <v>0.27</v>
      </c>
      <c r="I74" s="34">
        <v>5.2</v>
      </c>
    </row>
    <row r="75" ht="17.25" customHeight="1">
      <c r="A75" s="43"/>
      <c r="B75" s="38" t="s">
        <v>128</v>
      </c>
      <c r="C75" s="44" t="s">
        <v>129</v>
      </c>
      <c r="D75" s="40"/>
      <c r="E75" s="45"/>
      <c r="F75" s="42" t="str">
        <f t="shared" si="1"/>
        <v/>
      </c>
      <c r="G75" s="32">
        <v>0.24</v>
      </c>
      <c r="H75" s="33">
        <v>0.23</v>
      </c>
      <c r="I75" s="34">
        <v>4.7</v>
      </c>
    </row>
    <row r="76" ht="17.25" customHeight="1">
      <c r="A76" s="26">
        <v>2016.0</v>
      </c>
      <c r="B76" s="27" t="s">
        <v>130</v>
      </c>
      <c r="C76" s="28"/>
      <c r="D76" s="47">
        <v>0.9</v>
      </c>
      <c r="E76" s="48">
        <v>0.73</v>
      </c>
      <c r="F76" s="31">
        <f t="shared" si="1"/>
        <v>0.815</v>
      </c>
      <c r="G76" s="32">
        <v>0.25</v>
      </c>
      <c r="H76" s="33">
        <v>0.28</v>
      </c>
      <c r="I76" s="34">
        <v>5.0</v>
      </c>
    </row>
    <row r="77" ht="17.25" customHeight="1">
      <c r="A77" s="35"/>
      <c r="B77" s="27" t="s">
        <v>131</v>
      </c>
      <c r="C77" s="28"/>
      <c r="D77" s="47"/>
      <c r="E77" s="48"/>
      <c r="F77" s="31" t="str">
        <f t="shared" si="1"/>
        <v/>
      </c>
      <c r="G77" s="32">
        <v>0.49</v>
      </c>
      <c r="H77" s="33">
        <v>0.2</v>
      </c>
      <c r="I77" s="34">
        <v>4.8</v>
      </c>
    </row>
    <row r="78" ht="17.25" customHeight="1">
      <c r="A78" s="35"/>
      <c r="B78" s="27" t="s">
        <v>132</v>
      </c>
      <c r="C78" s="28"/>
      <c r="D78" s="47"/>
      <c r="E78" s="30">
        <v>0.75</v>
      </c>
      <c r="F78" s="31">
        <f t="shared" si="1"/>
        <v>0.75</v>
      </c>
      <c r="G78" s="32">
        <v>0.6</v>
      </c>
      <c r="H78" s="33">
        <v>0.7</v>
      </c>
      <c r="I78" s="34">
        <v>7.3</v>
      </c>
    </row>
    <row r="79" ht="17.25" customHeight="1">
      <c r="A79" s="35"/>
      <c r="B79" s="27" t="s">
        <v>133</v>
      </c>
      <c r="C79" s="28"/>
      <c r="D79" s="47">
        <v>0.55</v>
      </c>
      <c r="E79" s="48">
        <v>0.62</v>
      </c>
      <c r="F79" s="31">
        <f t="shared" si="1"/>
        <v>0.585</v>
      </c>
      <c r="G79" s="32">
        <v>0.63</v>
      </c>
      <c r="H79" s="33">
        <v>0.41</v>
      </c>
      <c r="I79" s="34">
        <v>5.4</v>
      </c>
    </row>
    <row r="80" ht="17.25" customHeight="1">
      <c r="A80" s="35"/>
      <c r="B80" s="27" t="s">
        <v>134</v>
      </c>
      <c r="C80" s="28"/>
      <c r="D80" s="47"/>
      <c r="E80" s="48"/>
      <c r="F80" s="31" t="str">
        <f t="shared" si="1"/>
        <v/>
      </c>
      <c r="G80" s="32">
        <v>0.17</v>
      </c>
      <c r="H80" s="33">
        <v>0.3</v>
      </c>
      <c r="I80" s="34">
        <v>5.3</v>
      </c>
    </row>
    <row r="81" ht="17.25" customHeight="1">
      <c r="A81" s="43">
        <v>2017.0</v>
      </c>
      <c r="B81" s="38" t="s">
        <v>135</v>
      </c>
      <c r="C81" s="39"/>
      <c r="D81" s="40"/>
      <c r="E81" s="45"/>
      <c r="F81" s="42" t="str">
        <f t="shared" si="1"/>
        <v/>
      </c>
      <c r="G81" s="32">
        <v>0.03</v>
      </c>
      <c r="H81" s="33">
        <v>0.18</v>
      </c>
      <c r="I81" s="34">
        <v>4.0</v>
      </c>
    </row>
    <row r="82" ht="17.25" customHeight="1">
      <c r="A82" s="43"/>
      <c r="B82" s="38" t="s">
        <v>136</v>
      </c>
      <c r="C82" s="44" t="s">
        <v>137</v>
      </c>
      <c r="D82" s="40"/>
      <c r="E82" s="45"/>
      <c r="F82" s="42" t="str">
        <f t="shared" si="1"/>
        <v/>
      </c>
      <c r="G82" s="32">
        <v>0.31</v>
      </c>
      <c r="H82" s="33">
        <v>0.32</v>
      </c>
      <c r="I82" s="34">
        <v>5.2</v>
      </c>
    </row>
    <row r="83" ht="17.25" customHeight="1">
      <c r="A83" s="43"/>
      <c r="B83" s="38" t="s">
        <v>138</v>
      </c>
      <c r="C83" s="39"/>
      <c r="D83" s="40">
        <v>0.65</v>
      </c>
      <c r="E83" s="45">
        <v>0.65</v>
      </c>
      <c r="F83" s="42">
        <f t="shared" si="1"/>
        <v>0.65</v>
      </c>
      <c r="G83" s="32">
        <v>0.75</v>
      </c>
      <c r="H83" s="33">
        <v>0.46</v>
      </c>
      <c r="I83" s="34">
        <v>5.6</v>
      </c>
    </row>
    <row r="84" ht="17.25" customHeight="1">
      <c r="A84" s="43"/>
      <c r="B84" s="46" t="s">
        <v>139</v>
      </c>
      <c r="C84" s="44" t="s">
        <v>140</v>
      </c>
      <c r="D84" s="40"/>
      <c r="E84" s="45"/>
      <c r="F84" s="42" t="str">
        <f t="shared" si="1"/>
        <v/>
      </c>
      <c r="G84" s="32">
        <v>0.25</v>
      </c>
      <c r="H84" s="33">
        <v>0.24</v>
      </c>
      <c r="I84" s="34">
        <v>4.6</v>
      </c>
    </row>
    <row r="85" ht="17.25" customHeight="1">
      <c r="A85" s="43"/>
      <c r="B85" s="38" t="s">
        <v>141</v>
      </c>
      <c r="C85" s="44" t="s">
        <v>142</v>
      </c>
      <c r="D85" s="40"/>
      <c r="E85" s="45"/>
      <c r="F85" s="42" t="str">
        <f t="shared" si="1"/>
        <v/>
      </c>
      <c r="G85" s="32"/>
      <c r="H85" s="50">
        <v>0.24</v>
      </c>
      <c r="I85" s="34">
        <v>5.2</v>
      </c>
    </row>
    <row r="86" ht="17.25" customHeight="1">
      <c r="A86" s="26">
        <v>2018.0</v>
      </c>
      <c r="B86" s="27">
        <v>211.0</v>
      </c>
      <c r="C86" s="36" t="s">
        <v>143</v>
      </c>
      <c r="D86" s="47"/>
      <c r="E86" s="48"/>
      <c r="F86" s="31" t="str">
        <f t="shared" si="1"/>
        <v/>
      </c>
      <c r="G86" s="32">
        <v>0.04</v>
      </c>
      <c r="H86" s="33">
        <v>0.1</v>
      </c>
      <c r="I86" s="34">
        <v>4.4</v>
      </c>
    </row>
    <row r="87" ht="17.25" customHeight="1">
      <c r="A87" s="35"/>
      <c r="B87" s="27" t="s">
        <v>144</v>
      </c>
      <c r="C87" s="28"/>
      <c r="D87" s="47">
        <v>0.29</v>
      </c>
      <c r="E87" s="48">
        <v>0.39</v>
      </c>
      <c r="F87" s="31">
        <f t="shared" si="1"/>
        <v>0.34</v>
      </c>
      <c r="G87" s="32">
        <v>0.33</v>
      </c>
      <c r="H87" s="33">
        <v>0.35</v>
      </c>
      <c r="I87" s="34">
        <v>4.3</v>
      </c>
    </row>
    <row r="88" ht="17.25" customHeight="1">
      <c r="A88" s="35"/>
      <c r="B88" s="27" t="s">
        <v>145</v>
      </c>
      <c r="C88" s="56" t="s">
        <v>146</v>
      </c>
      <c r="D88" s="47"/>
      <c r="E88" s="48"/>
      <c r="F88" s="31" t="str">
        <f t="shared" si="1"/>
        <v/>
      </c>
      <c r="G88" s="32">
        <v>0.17</v>
      </c>
      <c r="H88" s="33">
        <v>0.17</v>
      </c>
      <c r="I88" s="34">
        <v>4.6</v>
      </c>
    </row>
    <row r="89" ht="17.25" customHeight="1">
      <c r="A89" s="35"/>
      <c r="B89" s="27" t="s">
        <v>147</v>
      </c>
      <c r="C89" s="28"/>
      <c r="D89" s="47">
        <v>0.98</v>
      </c>
      <c r="E89" s="48">
        <v>0.97</v>
      </c>
      <c r="F89" s="31">
        <f t="shared" si="1"/>
        <v>0.975</v>
      </c>
      <c r="G89" s="32">
        <v>0.9</v>
      </c>
      <c r="H89" s="33">
        <v>0.67</v>
      </c>
      <c r="I89" s="34">
        <v>6.5</v>
      </c>
    </row>
    <row r="90" ht="17.25" customHeight="1">
      <c r="A90" s="35"/>
      <c r="B90" s="27" t="s">
        <v>148</v>
      </c>
      <c r="C90" s="36" t="s">
        <v>149</v>
      </c>
      <c r="D90" s="47"/>
      <c r="E90" s="30">
        <v>0.95</v>
      </c>
      <c r="F90" s="31">
        <f t="shared" si="1"/>
        <v>0.95</v>
      </c>
      <c r="G90" s="32">
        <v>0.97</v>
      </c>
      <c r="H90" s="33">
        <v>0.94</v>
      </c>
      <c r="I90" s="34">
        <v>8.4</v>
      </c>
    </row>
    <row r="91" ht="17.25" customHeight="1">
      <c r="A91" s="35"/>
      <c r="B91" s="27" t="s">
        <v>150</v>
      </c>
      <c r="C91" s="28"/>
      <c r="D91" s="47"/>
      <c r="E91" s="48"/>
      <c r="F91" s="31" t="str">
        <f t="shared" si="1"/>
        <v/>
      </c>
      <c r="G91" s="32">
        <v>0.91</v>
      </c>
      <c r="H91" s="33">
        <v>0.72</v>
      </c>
      <c r="I91" s="34">
        <v>6.7</v>
      </c>
    </row>
    <row r="92" ht="17.25" customHeight="1">
      <c r="A92" s="37">
        <v>2019.0</v>
      </c>
      <c r="B92" s="38" t="s">
        <v>151</v>
      </c>
      <c r="C92" s="39"/>
      <c r="D92" s="40">
        <v>0.4</v>
      </c>
      <c r="E92" s="45">
        <v>0.57</v>
      </c>
      <c r="F92" s="42">
        <f t="shared" si="1"/>
        <v>0.485</v>
      </c>
      <c r="G92" s="32">
        <v>0.15</v>
      </c>
      <c r="H92" s="33">
        <v>0.24</v>
      </c>
      <c r="I92" s="34">
        <v>4.7</v>
      </c>
    </row>
    <row r="93" ht="17.25" customHeight="1">
      <c r="A93" s="43"/>
      <c r="B93" s="38" t="s">
        <v>152</v>
      </c>
      <c r="C93" s="44" t="s">
        <v>153</v>
      </c>
      <c r="D93" s="40"/>
      <c r="E93" s="45"/>
      <c r="F93" s="42" t="str">
        <f t="shared" si="1"/>
        <v/>
      </c>
      <c r="G93" s="32">
        <v>0.86</v>
      </c>
      <c r="H93" s="33">
        <v>0.76</v>
      </c>
      <c r="I93" s="34">
        <v>6.2</v>
      </c>
    </row>
    <row r="94" ht="17.25" customHeight="1">
      <c r="A94" s="43"/>
      <c r="B94" s="38" t="s">
        <v>154</v>
      </c>
      <c r="C94" s="44" t="s">
        <v>155</v>
      </c>
      <c r="D94" s="40"/>
      <c r="E94" s="45"/>
      <c r="F94" s="42" t="str">
        <f t="shared" si="1"/>
        <v/>
      </c>
      <c r="G94" s="49">
        <v>0.09</v>
      </c>
      <c r="H94" s="50">
        <v>0.39</v>
      </c>
      <c r="I94" s="34">
        <v>4.6</v>
      </c>
    </row>
    <row r="95" ht="17.25" customHeight="1">
      <c r="A95" s="43"/>
      <c r="B95" s="38" t="s">
        <v>156</v>
      </c>
      <c r="C95" s="39"/>
      <c r="D95" s="40"/>
      <c r="E95" s="45"/>
      <c r="F95" s="42" t="str">
        <f t="shared" si="1"/>
        <v/>
      </c>
      <c r="G95" s="32"/>
      <c r="H95" s="50">
        <v>0.39</v>
      </c>
      <c r="I95" s="34">
        <v>5.0</v>
      </c>
    </row>
    <row r="96" ht="17.25" customHeight="1">
      <c r="A96" s="43"/>
      <c r="B96" s="38" t="s">
        <v>157</v>
      </c>
      <c r="C96" s="44" t="s">
        <v>158</v>
      </c>
      <c r="D96" s="40">
        <v>0.42</v>
      </c>
      <c r="E96" s="45">
        <v>0.57</v>
      </c>
      <c r="F96" s="42">
        <f t="shared" si="1"/>
        <v>0.495</v>
      </c>
      <c r="G96" s="32">
        <v>0.37</v>
      </c>
      <c r="H96" s="33">
        <v>0.26</v>
      </c>
      <c r="I96" s="34">
        <v>4.9</v>
      </c>
    </row>
    <row r="97" ht="17.25" customHeight="1">
      <c r="A97" s="43"/>
      <c r="B97" s="38" t="s">
        <v>159</v>
      </c>
      <c r="C97" s="39"/>
      <c r="D97" s="40">
        <v>0.28</v>
      </c>
      <c r="E97" s="45">
        <v>0.15</v>
      </c>
      <c r="F97" s="42">
        <f t="shared" si="1"/>
        <v>0.215</v>
      </c>
      <c r="G97" s="32">
        <v>0.24</v>
      </c>
      <c r="H97" s="33">
        <v>0.38</v>
      </c>
      <c r="I97" s="34">
        <v>5.5</v>
      </c>
    </row>
    <row r="98" ht="17.25" customHeight="1">
      <c r="A98" s="35">
        <v>2020.0</v>
      </c>
      <c r="B98" s="27" t="s">
        <v>160</v>
      </c>
      <c r="C98" s="28"/>
      <c r="D98" s="47"/>
      <c r="E98" s="30">
        <v>0.05</v>
      </c>
      <c r="F98" s="31">
        <f t="shared" si="1"/>
        <v>0.05</v>
      </c>
      <c r="G98" s="32">
        <v>0.28</v>
      </c>
      <c r="H98" s="33">
        <v>0.22</v>
      </c>
      <c r="I98" s="34">
        <v>2.9</v>
      </c>
    </row>
    <row r="99" ht="17.25" customHeight="1">
      <c r="A99" s="35"/>
      <c r="B99" s="27" t="s">
        <v>161</v>
      </c>
      <c r="C99" s="36" t="s">
        <v>162</v>
      </c>
      <c r="D99" s="47"/>
      <c r="E99" s="48"/>
      <c r="F99" s="31" t="str">
        <f t="shared" si="1"/>
        <v/>
      </c>
      <c r="G99" s="32">
        <v>0.77</v>
      </c>
      <c r="H99" s="33">
        <v>0.94</v>
      </c>
      <c r="I99" s="34">
        <v>6.9</v>
      </c>
    </row>
    <row r="100" ht="17.25" customHeight="1">
      <c r="A100" s="37">
        <v>2021.0</v>
      </c>
      <c r="B100" s="38" t="s">
        <v>163</v>
      </c>
      <c r="C100" s="39"/>
      <c r="D100" s="40">
        <v>0.75</v>
      </c>
      <c r="E100" s="45">
        <v>0.81</v>
      </c>
      <c r="F100" s="42">
        <f t="shared" si="1"/>
        <v>0.78</v>
      </c>
      <c r="G100" s="32">
        <v>0.97</v>
      </c>
      <c r="H100" s="33">
        <v>0.84</v>
      </c>
      <c r="I100" s="34">
        <v>6.9</v>
      </c>
    </row>
    <row r="101" ht="17.25" customHeight="1">
      <c r="A101" s="43"/>
      <c r="B101" s="38" t="s">
        <v>164</v>
      </c>
      <c r="C101" s="39"/>
      <c r="D101" s="40"/>
      <c r="E101" s="45"/>
      <c r="F101" s="42" t="str">
        <f t="shared" si="1"/>
        <v/>
      </c>
      <c r="G101" s="32">
        <v>0.62</v>
      </c>
      <c r="H101" s="33">
        <v>0.25</v>
      </c>
      <c r="I101" s="34">
        <v>4.2</v>
      </c>
    </row>
    <row r="102" ht="17.25" customHeight="1">
      <c r="A102" s="43"/>
      <c r="B102" s="38" t="s">
        <v>165</v>
      </c>
      <c r="C102" s="39"/>
      <c r="D102" s="40"/>
      <c r="E102" s="41">
        <v>0.4</v>
      </c>
      <c r="F102" s="42">
        <f t="shared" si="1"/>
        <v>0.4</v>
      </c>
      <c r="G102" s="32">
        <v>0.62</v>
      </c>
      <c r="H102" s="33">
        <v>0.7</v>
      </c>
      <c r="I102" s="34">
        <v>5.5</v>
      </c>
    </row>
    <row r="103" ht="17.25" customHeight="1">
      <c r="A103" s="26">
        <v>2022.0</v>
      </c>
      <c r="B103" s="27" t="s">
        <v>166</v>
      </c>
      <c r="C103" s="28"/>
      <c r="D103" s="47"/>
      <c r="E103" s="48"/>
      <c r="F103" s="31" t="str">
        <f t="shared" si="1"/>
        <v/>
      </c>
      <c r="G103" s="32">
        <v>0.74</v>
      </c>
      <c r="H103" s="33">
        <v>0.62</v>
      </c>
      <c r="I103" s="34">
        <v>5.7</v>
      </c>
    </row>
    <row r="104" ht="17.25" customHeight="1">
      <c r="A104" s="35"/>
      <c r="B104" s="27" t="s">
        <v>167</v>
      </c>
      <c r="C104" s="36" t="s">
        <v>168</v>
      </c>
      <c r="D104" s="47"/>
      <c r="E104" s="30">
        <v>0.7</v>
      </c>
      <c r="F104" s="31">
        <f t="shared" si="1"/>
        <v>0.7</v>
      </c>
      <c r="G104" s="32">
        <v>0.87</v>
      </c>
      <c r="H104" s="33">
        <v>0.87</v>
      </c>
      <c r="I104" s="34">
        <v>7.0</v>
      </c>
    </row>
    <row r="105" ht="17.25" customHeight="1">
      <c r="A105" s="37">
        <v>2023.0</v>
      </c>
      <c r="B105" s="46" t="s">
        <v>169</v>
      </c>
      <c r="C105" s="39"/>
      <c r="D105" s="40"/>
      <c r="E105" s="41">
        <v>0.78</v>
      </c>
      <c r="F105" s="42">
        <f t="shared" si="1"/>
        <v>0.78</v>
      </c>
      <c r="G105" s="57">
        <v>0.91</v>
      </c>
      <c r="H105" s="58">
        <v>0.69</v>
      </c>
      <c r="I105" s="59">
        <v>6.8</v>
      </c>
    </row>
    <row r="106" ht="17.25" customHeight="1">
      <c r="A106" s="43"/>
      <c r="B106" s="46" t="s">
        <v>170</v>
      </c>
      <c r="C106" s="39"/>
      <c r="D106" s="40"/>
      <c r="E106" s="41">
        <v>0.83</v>
      </c>
      <c r="F106" s="42">
        <f t="shared" si="1"/>
        <v>0.83</v>
      </c>
      <c r="G106" s="57">
        <v>0.58</v>
      </c>
      <c r="H106" s="58">
        <v>0.78</v>
      </c>
      <c r="I106" s="59">
        <v>6.4</v>
      </c>
    </row>
    <row r="107" ht="17.25" customHeight="1">
      <c r="A107" s="43"/>
      <c r="B107" s="46" t="s">
        <v>171</v>
      </c>
      <c r="C107" s="39"/>
      <c r="D107" s="40"/>
      <c r="E107" s="45"/>
      <c r="F107" s="42" t="str">
        <f t="shared" si="1"/>
        <v/>
      </c>
      <c r="G107" s="57">
        <v>0.6</v>
      </c>
      <c r="H107" s="58">
        <v>0.48</v>
      </c>
      <c r="I107" s="59">
        <v>5.5</v>
      </c>
    </row>
    <row r="108" ht="17.25" customHeight="1">
      <c r="A108" s="43"/>
      <c r="B108" s="38" t="s">
        <v>172</v>
      </c>
      <c r="C108" s="39"/>
      <c r="D108" s="40"/>
      <c r="E108" s="45"/>
      <c r="F108" s="42" t="str">
        <f t="shared" si="1"/>
        <v/>
      </c>
      <c r="G108" s="57">
        <v>0.33</v>
      </c>
      <c r="H108" s="58">
        <v>0.7</v>
      </c>
      <c r="I108" s="59">
        <v>5.6</v>
      </c>
    </row>
    <row r="109" ht="17.25" customHeight="1">
      <c r="A109" s="43"/>
      <c r="B109" s="38" t="s">
        <v>173</v>
      </c>
      <c r="C109" s="39"/>
      <c r="D109" s="40"/>
      <c r="E109" s="45"/>
      <c r="F109" s="42" t="str">
        <f t="shared" si="1"/>
        <v/>
      </c>
      <c r="G109" s="57">
        <v>0.6</v>
      </c>
      <c r="H109" s="58">
        <v>0.4</v>
      </c>
      <c r="I109" s="59">
        <v>5.1</v>
      </c>
    </row>
    <row r="110" ht="17.25" customHeight="1">
      <c r="A110" s="26">
        <v>2024.0</v>
      </c>
      <c r="B110" s="55" t="s">
        <v>174</v>
      </c>
      <c r="C110" s="28"/>
      <c r="D110" s="47"/>
      <c r="E110" s="30">
        <v>0.65</v>
      </c>
      <c r="F110" s="31">
        <f t="shared" si="1"/>
        <v>0.65</v>
      </c>
      <c r="G110" s="60">
        <v>0.86</v>
      </c>
      <c r="H110" s="61">
        <v>0.61</v>
      </c>
      <c r="I110" s="62">
        <v>6.6</v>
      </c>
    </row>
    <row r="111" ht="17.25" customHeight="1">
      <c r="A111" s="35"/>
      <c r="B111" s="55" t="s">
        <v>175</v>
      </c>
      <c r="C111" s="28"/>
      <c r="D111" s="47"/>
      <c r="E111" s="48"/>
      <c r="F111" s="31" t="str">
        <f t="shared" si="1"/>
        <v/>
      </c>
      <c r="G111" s="60">
        <v>0.78</v>
      </c>
      <c r="H111" s="61">
        <v>0.56</v>
      </c>
      <c r="I111" s="62">
        <v>5.5</v>
      </c>
    </row>
    <row r="112" ht="17.25" customHeight="1">
      <c r="A112" s="35"/>
      <c r="B112" s="55" t="s">
        <v>176</v>
      </c>
      <c r="C112" s="28"/>
      <c r="D112" s="47"/>
      <c r="E112" s="48"/>
      <c r="F112" s="31"/>
      <c r="G112" s="29">
        <v>0.84</v>
      </c>
      <c r="H112" s="61">
        <v>0.47</v>
      </c>
      <c r="I112" s="62">
        <v>5.6</v>
      </c>
    </row>
    <row r="113" ht="17.25" customHeight="1">
      <c r="A113" s="37">
        <v>2025.0</v>
      </c>
      <c r="B113" s="46" t="s">
        <v>177</v>
      </c>
      <c r="C113" s="39"/>
      <c r="D113" s="40"/>
      <c r="E113" s="45"/>
      <c r="F113" s="42"/>
      <c r="G113" s="63"/>
      <c r="H113" s="64"/>
      <c r="I113" s="65"/>
    </row>
    <row r="114" ht="17.25" customHeight="1">
      <c r="A114" s="43"/>
      <c r="B114" s="46" t="s">
        <v>178</v>
      </c>
      <c r="C114" s="39"/>
      <c r="D114" s="40"/>
      <c r="E114" s="45"/>
      <c r="F114" s="42"/>
      <c r="G114" s="63"/>
      <c r="H114" s="64"/>
      <c r="I114" s="65"/>
    </row>
    <row r="115" ht="17.25" customHeight="1">
      <c r="A115" s="43"/>
      <c r="B115" s="46"/>
      <c r="C115" s="66"/>
      <c r="D115" s="40"/>
      <c r="E115" s="45"/>
      <c r="F115" s="67"/>
      <c r="G115" s="63"/>
      <c r="H115" s="64"/>
      <c r="I115" s="65"/>
    </row>
    <row r="116" ht="17.25" customHeight="1">
      <c r="A116" s="68"/>
      <c r="B116" s="46"/>
      <c r="C116" s="66"/>
      <c r="D116" s="40"/>
      <c r="E116" s="45"/>
      <c r="F116" s="67"/>
      <c r="G116" s="63"/>
      <c r="H116" s="42"/>
      <c r="I116" s="69"/>
    </row>
    <row r="117" ht="17.25" customHeight="1">
      <c r="A117" s="68"/>
      <c r="B117" s="46"/>
      <c r="C117" s="66"/>
      <c r="D117" s="40"/>
      <c r="E117" s="45"/>
      <c r="F117" s="67"/>
      <c r="G117" s="63"/>
      <c r="H117" s="42"/>
      <c r="I117" s="69"/>
    </row>
    <row r="118" ht="17.25" customHeight="1">
      <c r="A118" s="68"/>
      <c r="B118" s="46"/>
      <c r="C118" s="66"/>
      <c r="D118" s="40"/>
      <c r="E118" s="45"/>
      <c r="F118" s="67"/>
      <c r="G118" s="63"/>
      <c r="H118" s="42"/>
      <c r="I118" s="69"/>
    </row>
    <row r="119" ht="17.25" customHeight="1">
      <c r="A119" s="68"/>
      <c r="B119" s="46"/>
      <c r="C119" s="66"/>
      <c r="D119" s="40"/>
      <c r="E119" s="45"/>
      <c r="F119" s="67"/>
      <c r="G119" s="63"/>
      <c r="H119" s="42"/>
      <c r="I119" s="69"/>
    </row>
    <row r="120" ht="17.25" customHeight="1">
      <c r="A120" s="68"/>
      <c r="B120" s="46"/>
      <c r="C120" s="66"/>
      <c r="D120" s="40"/>
      <c r="E120" s="45"/>
      <c r="F120" s="67"/>
      <c r="G120" s="63"/>
      <c r="H120" s="42"/>
      <c r="I120" s="69"/>
    </row>
    <row r="121" ht="17.25" customHeight="1">
      <c r="A121" s="68"/>
      <c r="B121" s="46"/>
      <c r="C121" s="66"/>
      <c r="D121" s="40"/>
      <c r="E121" s="45"/>
      <c r="F121" s="67"/>
      <c r="G121" s="63"/>
      <c r="H121" s="42"/>
      <c r="I121" s="69"/>
    </row>
    <row r="122" ht="17.25" customHeight="1">
      <c r="A122" s="68"/>
      <c r="B122" s="46"/>
      <c r="C122" s="66"/>
      <c r="D122" s="40"/>
      <c r="E122" s="45"/>
      <c r="F122" s="67"/>
      <c r="G122" s="63"/>
      <c r="H122" s="42"/>
      <c r="I122" s="69"/>
    </row>
    <row r="123" ht="17.25" customHeight="1">
      <c r="A123" s="68"/>
      <c r="B123" s="46"/>
      <c r="C123" s="66"/>
      <c r="D123" s="40"/>
      <c r="E123" s="45"/>
      <c r="F123" s="67"/>
      <c r="G123" s="63"/>
      <c r="H123" s="42"/>
      <c r="I123" s="69"/>
    </row>
    <row r="124" ht="17.25" customHeight="1">
      <c r="A124" s="68"/>
      <c r="B124" s="46"/>
      <c r="C124" s="66"/>
      <c r="D124" s="40"/>
      <c r="E124" s="45"/>
      <c r="F124" s="67"/>
      <c r="G124" s="63"/>
      <c r="H124" s="42"/>
      <c r="I124" s="69"/>
    </row>
    <row r="125" ht="17.25" customHeight="1">
      <c r="A125" s="68"/>
      <c r="B125" s="46"/>
      <c r="C125" s="66"/>
      <c r="D125" s="40"/>
      <c r="E125" s="45"/>
      <c r="F125" s="67"/>
      <c r="G125" s="63"/>
      <c r="H125" s="42"/>
      <c r="I125" s="69"/>
    </row>
    <row r="126" ht="17.25" customHeight="1">
      <c r="A126" s="68"/>
      <c r="B126" s="46"/>
      <c r="C126" s="66"/>
      <c r="D126" s="40"/>
      <c r="E126" s="45"/>
      <c r="F126" s="67"/>
      <c r="G126" s="63"/>
      <c r="H126" s="42"/>
      <c r="I126" s="69"/>
    </row>
    <row r="127" ht="17.25" customHeight="1">
      <c r="A127" s="68"/>
      <c r="B127" s="46"/>
      <c r="C127" s="66"/>
      <c r="D127" s="40"/>
      <c r="E127" s="45"/>
      <c r="F127" s="67"/>
      <c r="G127" s="63"/>
      <c r="H127" s="42"/>
      <c r="I127" s="69"/>
    </row>
    <row r="128" ht="17.25" customHeight="1">
      <c r="A128" s="68"/>
      <c r="B128" s="46"/>
      <c r="C128" s="66"/>
      <c r="D128" s="40"/>
      <c r="E128" s="45"/>
      <c r="F128" s="67"/>
      <c r="G128" s="63"/>
      <c r="H128" s="42"/>
      <c r="I128" s="69"/>
    </row>
    <row r="129" ht="17.25" customHeight="1">
      <c r="A129" s="68"/>
      <c r="B129" s="46"/>
      <c r="C129" s="66"/>
      <c r="D129" s="40"/>
      <c r="E129" s="45"/>
      <c r="F129" s="67"/>
      <c r="G129" s="63"/>
      <c r="H129" s="42"/>
      <c r="I129" s="69"/>
    </row>
    <row r="130" ht="17.25" customHeight="1">
      <c r="A130" s="68"/>
      <c r="B130" s="46"/>
      <c r="C130" s="66"/>
      <c r="D130" s="40"/>
      <c r="E130" s="45"/>
      <c r="F130" s="67"/>
      <c r="G130" s="63"/>
      <c r="H130" s="42"/>
      <c r="I130" s="69"/>
    </row>
    <row r="131" ht="17.25" customHeight="1">
      <c r="A131" s="68"/>
      <c r="B131" s="46"/>
      <c r="C131" s="66"/>
      <c r="D131" s="40"/>
      <c r="E131" s="45"/>
      <c r="F131" s="67"/>
      <c r="G131" s="63"/>
      <c r="H131" s="42"/>
      <c r="I131" s="69"/>
    </row>
    <row r="132" ht="17.25" customHeight="1">
      <c r="A132" s="68"/>
      <c r="B132" s="46"/>
      <c r="C132" s="66"/>
      <c r="D132" s="40"/>
      <c r="E132" s="45"/>
      <c r="F132" s="67"/>
      <c r="G132" s="63"/>
      <c r="H132" s="42"/>
      <c r="I132" s="69"/>
    </row>
    <row r="133" ht="17.25" customHeight="1">
      <c r="A133" s="68"/>
      <c r="B133" s="46"/>
      <c r="C133" s="66"/>
      <c r="D133" s="40"/>
      <c r="E133" s="45"/>
      <c r="F133" s="67"/>
      <c r="G133" s="63"/>
      <c r="H133" s="42"/>
      <c r="I133" s="69"/>
    </row>
    <row r="134" ht="17.25" customHeight="1">
      <c r="A134" s="68"/>
      <c r="B134" s="46"/>
      <c r="C134" s="66"/>
      <c r="D134" s="40"/>
      <c r="E134" s="45"/>
      <c r="F134" s="67"/>
      <c r="G134" s="63"/>
      <c r="H134" s="42"/>
      <c r="I134" s="69"/>
    </row>
    <row r="135" ht="17.25" customHeight="1">
      <c r="A135" s="68"/>
      <c r="B135" s="46"/>
      <c r="C135" s="66"/>
      <c r="D135" s="40"/>
      <c r="E135" s="45"/>
      <c r="F135" s="67"/>
      <c r="G135" s="63"/>
      <c r="H135" s="42"/>
      <c r="I135" s="69"/>
    </row>
    <row r="136" ht="17.25" customHeight="1">
      <c r="A136" s="68"/>
      <c r="B136" s="46"/>
      <c r="C136" s="66"/>
      <c r="D136" s="40"/>
      <c r="E136" s="45"/>
      <c r="F136" s="67"/>
      <c r="G136" s="63"/>
      <c r="H136" s="42"/>
      <c r="I136" s="69"/>
    </row>
    <row r="137" ht="17.25" customHeight="1">
      <c r="A137" s="68"/>
      <c r="B137" s="46"/>
      <c r="C137" s="66"/>
      <c r="D137" s="40"/>
      <c r="E137" s="45"/>
      <c r="F137" s="67"/>
      <c r="G137" s="63"/>
      <c r="H137" s="42"/>
      <c r="I137" s="69"/>
    </row>
    <row r="138" ht="17.25" customHeight="1">
      <c r="A138" s="68"/>
      <c r="B138" s="46"/>
      <c r="C138" s="66"/>
      <c r="D138" s="40"/>
      <c r="E138" s="45"/>
      <c r="F138" s="67"/>
      <c r="G138" s="63"/>
      <c r="H138" s="42"/>
      <c r="I138" s="69"/>
    </row>
    <row r="139" ht="17.25" customHeight="1">
      <c r="A139" s="68"/>
      <c r="B139" s="46"/>
      <c r="C139" s="66"/>
      <c r="D139" s="40"/>
      <c r="E139" s="45"/>
      <c r="F139" s="67"/>
      <c r="G139" s="63"/>
      <c r="H139" s="42"/>
      <c r="I139" s="69"/>
    </row>
    <row r="140" ht="17.25" customHeight="1">
      <c r="A140" s="68"/>
      <c r="B140" s="46"/>
      <c r="C140" s="66"/>
      <c r="D140" s="40"/>
      <c r="E140" s="45"/>
      <c r="F140" s="67"/>
      <c r="G140" s="63"/>
      <c r="H140" s="42"/>
      <c r="I140" s="69"/>
    </row>
    <row r="141" ht="17.25" customHeight="1">
      <c r="A141" s="68"/>
      <c r="B141" s="46"/>
      <c r="C141" s="66"/>
      <c r="D141" s="40"/>
      <c r="E141" s="45"/>
      <c r="F141" s="67"/>
      <c r="G141" s="63"/>
      <c r="H141" s="42"/>
      <c r="I141" s="69"/>
    </row>
    <row r="142" ht="17.25" customHeight="1">
      <c r="A142" s="68"/>
      <c r="B142" s="46"/>
      <c r="C142" s="66"/>
      <c r="D142" s="40"/>
      <c r="E142" s="45"/>
      <c r="F142" s="67"/>
      <c r="G142" s="63"/>
      <c r="H142" s="42"/>
      <c r="I142" s="69"/>
    </row>
    <row r="143" ht="17.25" customHeight="1">
      <c r="A143" s="68"/>
      <c r="B143" s="46"/>
      <c r="C143" s="66"/>
      <c r="D143" s="40"/>
      <c r="E143" s="45"/>
      <c r="F143" s="67"/>
      <c r="G143" s="63"/>
      <c r="H143" s="42"/>
      <c r="I143" s="69"/>
    </row>
    <row r="144" ht="17.25" customHeight="1">
      <c r="A144" s="68"/>
      <c r="B144" s="46"/>
      <c r="C144" s="66"/>
      <c r="D144" s="40"/>
      <c r="E144" s="45"/>
      <c r="F144" s="67"/>
      <c r="G144" s="63"/>
      <c r="H144" s="42"/>
      <c r="I144" s="69"/>
    </row>
    <row r="145" ht="17.25" customHeight="1">
      <c r="A145" s="68"/>
      <c r="B145" s="46"/>
      <c r="C145" s="66"/>
      <c r="D145" s="40"/>
      <c r="E145" s="45"/>
      <c r="F145" s="67"/>
      <c r="G145" s="63"/>
      <c r="H145" s="42"/>
      <c r="I145" s="69"/>
    </row>
    <row r="146" ht="17.25" customHeight="1">
      <c r="A146" s="68"/>
      <c r="B146" s="46"/>
      <c r="C146" s="66"/>
      <c r="D146" s="40"/>
      <c r="E146" s="45"/>
      <c r="F146" s="67"/>
      <c r="G146" s="63"/>
      <c r="H146" s="42"/>
      <c r="I146" s="69"/>
    </row>
    <row r="147" ht="17.25" customHeight="1">
      <c r="A147" s="68"/>
      <c r="B147" s="46"/>
      <c r="C147" s="66"/>
      <c r="D147" s="40"/>
      <c r="E147" s="45"/>
      <c r="F147" s="67"/>
      <c r="G147" s="63"/>
      <c r="H147" s="42"/>
      <c r="I147" s="69"/>
    </row>
    <row r="148" ht="17.25" customHeight="1">
      <c r="A148" s="68"/>
      <c r="B148" s="46"/>
      <c r="C148" s="66"/>
      <c r="D148" s="40"/>
      <c r="E148" s="45"/>
      <c r="F148" s="67"/>
      <c r="G148" s="63"/>
      <c r="H148" s="42"/>
      <c r="I148" s="69"/>
    </row>
    <row r="149" ht="17.25" customHeight="1">
      <c r="A149" s="68"/>
      <c r="B149" s="46"/>
      <c r="C149" s="66"/>
      <c r="D149" s="40"/>
      <c r="E149" s="45"/>
      <c r="F149" s="67"/>
      <c r="G149" s="63"/>
      <c r="H149" s="42"/>
      <c r="I149" s="69"/>
    </row>
    <row r="150" ht="17.25" customHeight="1">
      <c r="A150" s="68"/>
      <c r="B150" s="46"/>
      <c r="C150" s="66"/>
      <c r="D150" s="40"/>
      <c r="E150" s="45"/>
      <c r="F150" s="67"/>
      <c r="G150" s="63"/>
      <c r="H150" s="42"/>
      <c r="I150" s="69"/>
    </row>
    <row r="151" ht="17.25" customHeight="1">
      <c r="A151" s="68"/>
      <c r="B151" s="46"/>
      <c r="C151" s="66"/>
      <c r="D151" s="40"/>
      <c r="E151" s="45"/>
      <c r="F151" s="67"/>
      <c r="G151" s="63"/>
      <c r="H151" s="42"/>
      <c r="I151" s="69"/>
    </row>
    <row r="152" ht="17.25" customHeight="1">
      <c r="A152" s="68"/>
      <c r="B152" s="46"/>
      <c r="C152" s="66"/>
      <c r="D152" s="40"/>
      <c r="E152" s="45"/>
      <c r="F152" s="67"/>
      <c r="G152" s="63"/>
      <c r="H152" s="42"/>
      <c r="I152" s="69"/>
    </row>
    <row r="153" ht="17.25" customHeight="1">
      <c r="A153" s="68"/>
      <c r="B153" s="46"/>
      <c r="C153" s="66"/>
      <c r="D153" s="40"/>
      <c r="E153" s="45"/>
      <c r="F153" s="67"/>
      <c r="G153" s="63"/>
      <c r="H153" s="42"/>
      <c r="I153" s="69"/>
    </row>
    <row r="154" ht="17.25" customHeight="1">
      <c r="A154" s="68"/>
      <c r="B154" s="46"/>
      <c r="C154" s="66"/>
      <c r="D154" s="40"/>
      <c r="E154" s="45"/>
      <c r="F154" s="67"/>
      <c r="G154" s="63"/>
      <c r="H154" s="42"/>
      <c r="I154" s="69"/>
    </row>
    <row r="155" ht="17.25" customHeight="1">
      <c r="A155" s="68"/>
      <c r="B155" s="46"/>
      <c r="C155" s="66"/>
      <c r="D155" s="40"/>
      <c r="E155" s="45"/>
      <c r="F155" s="67"/>
      <c r="G155" s="63"/>
      <c r="H155" s="42"/>
      <c r="I155" s="69"/>
    </row>
    <row r="156" ht="17.25" customHeight="1">
      <c r="A156" s="68"/>
      <c r="B156" s="46"/>
      <c r="C156" s="66"/>
      <c r="D156" s="40"/>
      <c r="E156" s="45"/>
      <c r="F156" s="67"/>
      <c r="G156" s="63"/>
      <c r="H156" s="42"/>
      <c r="I156" s="69"/>
    </row>
    <row r="157" ht="17.25" customHeight="1">
      <c r="A157" s="68"/>
      <c r="B157" s="46"/>
      <c r="C157" s="66"/>
      <c r="D157" s="40"/>
      <c r="E157" s="45"/>
      <c r="F157" s="67"/>
      <c r="G157" s="63"/>
      <c r="H157" s="42"/>
      <c r="I157" s="69"/>
    </row>
    <row r="158" ht="17.25" customHeight="1">
      <c r="A158" s="68"/>
      <c r="B158" s="46"/>
      <c r="C158" s="66"/>
      <c r="D158" s="40"/>
      <c r="E158" s="45"/>
      <c r="F158" s="67"/>
      <c r="G158" s="63"/>
      <c r="H158" s="42"/>
      <c r="I158" s="69"/>
    </row>
    <row r="159" ht="17.25" customHeight="1">
      <c r="A159" s="68"/>
      <c r="B159" s="46"/>
      <c r="C159" s="66"/>
      <c r="D159" s="40"/>
      <c r="E159" s="45"/>
      <c r="F159" s="67"/>
      <c r="G159" s="63"/>
      <c r="H159" s="42"/>
      <c r="I159" s="69"/>
    </row>
    <row r="160" ht="17.25" customHeight="1">
      <c r="A160" s="68"/>
      <c r="B160" s="46"/>
      <c r="C160" s="66"/>
      <c r="D160" s="40"/>
      <c r="E160" s="45"/>
      <c r="F160" s="67"/>
      <c r="G160" s="63"/>
      <c r="H160" s="42"/>
      <c r="I160" s="69"/>
    </row>
    <row r="161" ht="17.25" customHeight="1">
      <c r="A161" s="68"/>
      <c r="B161" s="46"/>
      <c r="C161" s="66"/>
      <c r="D161" s="40"/>
      <c r="E161" s="45"/>
      <c r="F161" s="67"/>
      <c r="G161" s="63"/>
      <c r="H161" s="42"/>
      <c r="I161" s="69"/>
    </row>
    <row r="162" ht="17.25" customHeight="1">
      <c r="A162" s="68"/>
      <c r="B162" s="46"/>
      <c r="C162" s="66"/>
      <c r="D162" s="40"/>
      <c r="E162" s="45"/>
      <c r="F162" s="67"/>
      <c r="G162" s="63"/>
      <c r="H162" s="42"/>
      <c r="I162" s="69"/>
    </row>
    <row r="163" ht="17.25" customHeight="1">
      <c r="A163" s="68"/>
      <c r="B163" s="46"/>
      <c r="C163" s="66"/>
      <c r="D163" s="40"/>
      <c r="E163" s="45"/>
      <c r="F163" s="67"/>
      <c r="G163" s="63"/>
      <c r="H163" s="42"/>
      <c r="I163" s="69"/>
    </row>
    <row r="164" ht="17.25" customHeight="1">
      <c r="A164" s="68"/>
      <c r="B164" s="46"/>
      <c r="C164" s="66"/>
      <c r="D164" s="40"/>
      <c r="E164" s="45"/>
      <c r="F164" s="67"/>
      <c r="G164" s="63"/>
      <c r="H164" s="42"/>
      <c r="I164" s="69"/>
    </row>
    <row r="165" ht="17.25" customHeight="1">
      <c r="A165" s="68"/>
      <c r="B165" s="46"/>
      <c r="C165" s="66"/>
      <c r="D165" s="40"/>
      <c r="E165" s="45"/>
      <c r="F165" s="67"/>
      <c r="G165" s="63"/>
      <c r="H165" s="42"/>
      <c r="I165" s="69"/>
    </row>
    <row r="166" ht="17.25" customHeight="1">
      <c r="A166" s="70"/>
      <c r="B166" s="71"/>
      <c r="C166" s="72"/>
      <c r="D166" s="73"/>
      <c r="E166" s="74"/>
      <c r="F166" s="75"/>
      <c r="G166" s="76"/>
      <c r="H166" s="77"/>
      <c r="I166" s="78"/>
    </row>
  </sheetData>
  <mergeCells count="6">
    <mergeCell ref="A1:I1"/>
    <mergeCell ref="A2:B4"/>
    <mergeCell ref="D2:H2"/>
    <mergeCell ref="D3:H3"/>
    <mergeCell ref="G4:H4"/>
    <mergeCell ref="G5:H5"/>
  </mergeCells>
  <conditionalFormatting sqref="D6:H166">
    <cfRule type="colorScale" priority="1">
      <colorScale>
        <cfvo type="formula" val="0"/>
        <cfvo type="formula" val="0.5"/>
        <cfvo type="formula" val="1"/>
        <color rgb="FFE67C73"/>
        <color rgb="FFFFD666"/>
        <color rgb="FF57BB8A"/>
      </colorScale>
    </cfRule>
  </conditionalFormatting>
  <conditionalFormatting sqref="I6:I166">
    <cfRule type="colorScale" priority="2">
      <colorScale>
        <cfvo type="formula" val="0"/>
        <cfvo type="formula" val="5"/>
        <cfvo type="formula" val="10"/>
        <color rgb="FFE67C73"/>
        <color rgb="FFFFD666"/>
        <color rgb="FF57BB8A"/>
      </colorScale>
    </cfRule>
  </conditionalFormatting>
  <conditionalFormatting sqref="I2">
    <cfRule type="colorScale" priority="3">
      <colorScale>
        <cfvo type="percent" val="0"/>
        <cfvo type="percent" val="50"/>
        <cfvo type="percent" val="100"/>
        <color rgb="FFE67C73"/>
        <color rgb="FFFFD666"/>
        <color rgb="FF57BB8A"/>
      </colorScale>
    </cfRule>
  </conditionalFormatting>
  <conditionalFormatting sqref="I3">
    <cfRule type="colorScale" priority="4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D4:E4">
    <cfRule type="colorScale" priority="5">
      <colorScale>
        <cfvo type="formula" val="0"/>
        <cfvo type="formula" val="0.5"/>
        <cfvo type="formula" val="1"/>
        <color rgb="FFE67C73"/>
        <color rgb="FFFFD666"/>
        <color rgb="FF57BB8A"/>
      </colorScale>
    </cfRule>
  </conditionalFormatting>
  <printOptions/>
  <pageMargins bottom="0.05905511811023622" footer="0.0" header="0.0" left="0.0" right="0.0" top="0.0"/>
  <pageSetup fitToHeight="0" orientation="portrait" paperHeight="22.834645669291337in" paperWidth="8.26771653543307i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2022-01-09T18:43:16Z</dcterms:created>
  <dc:creator>Tristan Pfeil</dc:creator>
</cp:coreProperties>
</file>